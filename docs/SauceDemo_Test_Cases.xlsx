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  <sheet name="Test Data" sheetId="3" state="visible" r:id="rId5"/>
  </sheets>
  <definedNames>
    <definedName function="false" hidden="true" localSheetId="0" name="_xlnm._FilterDatabase" vbProcedure="false">'Test Cases'!$A$1:$M$56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<sst xmlns="http://schemas.openxmlformats.org/spreadsheetml/2006/main" count="654" uniqueCount="342">
  <si>
    <t xml:space="preserve">ID</t>
  </si>
  <si>
    <t xml:space="preserve">Module</t>
  </si>
  <si>
    <t xml:space="preserve">Type</t>
  </si>
  <si>
    <t xml:space="preserve">Scenario</t>
  </si>
  <si>
    <t xml:space="preserve">Priority</t>
  </si>
  <si>
    <t xml:space="preserve">Preconditions</t>
  </si>
  <si>
    <t xml:space="preserve">Steps</t>
  </si>
  <si>
    <t xml:space="preserve">Test Data</t>
  </si>
  <si>
    <t xml:space="preserve">Expected Result</t>
  </si>
  <si>
    <t xml:space="preserve">Status</t>
  </si>
  <si>
    <t xml:space="preserve">Actual Result</t>
  </si>
  <si>
    <t xml:space="preserve">Bug</t>
  </si>
  <si>
    <t xml:space="preserve">Executed On</t>
  </si>
  <si>
    <t xml:space="preserve">TC-001</t>
  </si>
  <si>
    <t xml:space="preserve">Login</t>
  </si>
  <si>
    <t xml:space="preserve">Functional</t>
  </si>
  <si>
    <t xml:space="preserve">Valid login with standard credentials</t>
  </si>
  <si>
    <t xml:space="preserve">High</t>
  </si>
  <si>
    <t xml:space="preserve">Browser open on https://www.saucedemo.com/; no user logged in</t>
  </si>
  <si>
    <t xml:space="preserve">1. Enter the username in the Username field.
2. Enter the password in the Password field.
3. Click Login.</t>
  </si>
  <si>
    <t xml:space="preserve">Username: standard_user / Password: secret_sauce</t>
  </si>
  <si>
    <t xml:space="preserve">User is taken to /inventory.html. Page title is "Products"; six products, the cart icon and the menu button are displayed.</t>
  </si>
  <si>
    <t xml:space="preserve">Not Run</t>
  </si>
  <si>
    <t xml:space="preserve">TC-002</t>
  </si>
  <si>
    <t xml:space="preserve">Negative</t>
  </si>
  <si>
    <t xml:space="preserve">Invalid username</t>
  </si>
  <si>
    <t xml:space="preserve">Username: invalid_user / Password: secret_sauce</t>
  </si>
  <si>
    <t xml:space="preserve">Error banner: "Epic sadface: Username and password do not match any user in this service". User stays on the login page.</t>
  </si>
  <si>
    <t xml:space="preserve">TC-003</t>
  </si>
  <si>
    <t xml:space="preserve">Invalid password</t>
  </si>
  <si>
    <t xml:space="preserve">Username: standard_user / Password: wrong_password</t>
  </si>
  <si>
    <t xml:space="preserve">TC-004</t>
  </si>
  <si>
    <t xml:space="preserve">Both fields empty</t>
  </si>
  <si>
    <t xml:space="preserve">1. Leave Username empty.
2. Leave Password empty.
3. Click Login.</t>
  </si>
  <si>
    <t xml:space="preserve">Username: (empty) / Password: (empty)</t>
  </si>
  <si>
    <t xml:space="preserve">Error banner: "Epic sadface: Username is required". User stays on the login page.</t>
  </si>
  <si>
    <t xml:space="preserve">TC-005</t>
  </si>
  <si>
    <t xml:space="preserve">Username empty</t>
  </si>
  <si>
    <t xml:space="preserve">1. Leave Username empty.
2. Enter the password.
3. Click Login.</t>
  </si>
  <si>
    <t xml:space="preserve">Username: (empty) / Password: secret_sauce</t>
  </si>
  <si>
    <t xml:space="preserve">Error banner: "Epic sadface: Username is required".</t>
  </si>
  <si>
    <t xml:space="preserve">TC-006</t>
  </si>
  <si>
    <t xml:space="preserve">Password empty</t>
  </si>
  <si>
    <t xml:space="preserve">1. Enter the username.
2. Leave Password empty.
3. Click Login.</t>
  </si>
  <si>
    <t xml:space="preserve">Username: standard_user / Password: (empty)</t>
  </si>
  <si>
    <t xml:space="preserve">Error banner: "Epic sadface: Password is required".</t>
  </si>
  <si>
    <t xml:space="preserve">TC-007</t>
  </si>
  <si>
    <t xml:space="preserve">Boundary</t>
  </si>
  <si>
    <t xml:space="preserve">Very long username</t>
  </si>
  <si>
    <t xml:space="preserve">Medium</t>
  </si>
  <si>
    <t xml:space="preserve">Username: 256 x "a" / Password: secret_sauce</t>
  </si>
  <si>
    <t xml:space="preserve">Application does not crash or break the layout. Error banner: "Epic sadface: Username and password do not match any user in this service". User stays on the login page.</t>
  </si>
  <si>
    <t xml:space="preserve">TC-008</t>
  </si>
  <si>
    <t xml:space="preserve">Very long password</t>
  </si>
  <si>
    <t xml:space="preserve">Username: standard_user / Password: 256 x "a"</t>
  </si>
  <si>
    <t xml:space="preserve">TC-009</t>
  </si>
  <si>
    <t xml:space="preserve">Username with leading/trailing spaces</t>
  </si>
  <si>
    <t xml:space="preserve">Username: " standard_user " (one leading and one trailing space) / Password: secret_sauce</t>
  </si>
  <si>
    <t xml:space="preserve">Either the whitespace is trimmed and login succeeds, or a clear credentials error is shown. No unhandled error. Record the exact behaviour; BUG-01 is raised against this case in the index.</t>
  </si>
  <si>
    <t xml:space="preserve">BUG-01</t>
  </si>
  <si>
    <t xml:space="preserve">TC-010</t>
  </si>
  <si>
    <t xml:space="preserve">Password masking</t>
  </si>
  <si>
    <t xml:space="preserve">1. Type a password into the Password field.
2. Look at the field while typing and after.</t>
  </si>
  <si>
    <t xml:space="preserve">Password: secret_sauce</t>
  </si>
  <si>
    <t xml:space="preserve">Characters are masked (dots/bullets). The password is not shown in clear text.</t>
  </si>
  <si>
    <t xml:space="preserve">TC-011</t>
  </si>
  <si>
    <t xml:space="preserve">Locked account</t>
  </si>
  <si>
    <t xml:space="preserve">Username: locked_out_user / Password: secret_sauce</t>
  </si>
  <si>
    <t xml:space="preserve">Error banner: "Epic sadface: Sorry, this user has been locked out." User is not logged in and stays on the login page.</t>
  </si>
  <si>
    <t xml:space="preserve">TC-012</t>
  </si>
  <si>
    <t xml:space="preserve">Case-sensitive username</t>
  </si>
  <si>
    <t xml:space="preserve">Username: Standard_User (different capitalisation) / Password: secret_sauce</t>
  </si>
  <si>
    <t xml:space="preserve">TC-013</t>
  </si>
  <si>
    <t xml:space="preserve">Inventory</t>
  </si>
  <si>
    <t xml:space="preserve">Six products displayed</t>
  </si>
  <si>
    <t xml:space="preserve">Logged in as standard_user; Products page displayed; cart empty</t>
  </si>
  <si>
    <t xml:space="preserve">1. Look at the product list on the Products page.</t>
  </si>
  <si>
    <t xml:space="preserve">n/a</t>
  </si>
  <si>
    <t xml:space="preserve">Exactly six products are listed: Sauce Labs Backpack, Bike Light, Bolt T-Shirt, Fleece Jacket, Onesie and Test.allTheThings() T-Shirt (Red).</t>
  </si>
  <si>
    <t xml:space="preserve">TC-014</t>
  </si>
  <si>
    <t xml:space="preserve">Product name/price/image/description present</t>
  </si>
  <si>
    <t xml:space="preserve">1. For each of the six products, check what is displayed on its card.</t>
  </si>
  <si>
    <t xml:space="preserve">Every card shows a product image (loaded, not broken), name, description, price and an Add to cart button.</t>
  </si>
  <si>
    <t xml:space="preserve">TC-015</t>
  </si>
  <si>
    <t xml:space="preserve">Add first product to cart</t>
  </si>
  <si>
    <t xml:space="preserve">1. Click Add to cart on the first product (Sauce Labs Backpack).</t>
  </si>
  <si>
    <t xml:space="preserve">Product: Sauce Labs Backpack</t>
  </si>
  <si>
    <t xml:space="preserve">Button changes to "Remove". Cart badge shows 1.</t>
  </si>
  <si>
    <t xml:space="preserve">TC-016</t>
  </si>
  <si>
    <t xml:space="preserve">Remove product from inventory page</t>
  </si>
  <si>
    <t xml:space="preserve">Logged in as standard_user; Backpack already added from the Products page (badge = 1)</t>
  </si>
  <si>
    <t xml:space="preserve">1. Click Remove on the Backpack card.</t>
  </si>
  <si>
    <t xml:space="preserve">Button reverts to "Add to cart". Cart badge disappears.</t>
  </si>
  <si>
    <t xml:space="preserve">TC-017</t>
  </si>
  <si>
    <t xml:space="preserve">Cart badge count for multiple products</t>
  </si>
  <si>
    <t xml:space="preserve">1. Click Add to cart on three different products, one at a time.
2. Check the cart badge after each click.</t>
  </si>
  <si>
    <t xml:space="preserve">Products: Backpack, Bike Light, Bolt T-Shirt</t>
  </si>
  <si>
    <t xml:space="preserve">Badge shows 1, then 2, then 3. Each clicked button changes to "Remove".</t>
  </si>
  <si>
    <t xml:space="preserve">TC-018</t>
  </si>
  <si>
    <t xml:space="preserve">Sort A-Z</t>
  </si>
  <si>
    <t xml:space="preserve">1. Open the sort dropdown.
2. Select "Name (A to Z)".</t>
  </si>
  <si>
    <t xml:space="preserve">Sort: Name (A to Z)</t>
  </si>
  <si>
    <t xml:space="preserve">Order: Sauce Labs Backpack, Sauce Labs Bike Light, Sauce Labs Bolt T-Shirt, Sauce Labs Fleece Jacket, Sauce Labs Onesie, Test.allTheThings() T-Shirt (Red).</t>
  </si>
  <si>
    <t xml:space="preserve">TC-019</t>
  </si>
  <si>
    <t xml:space="preserve">Sort Z-A</t>
  </si>
  <si>
    <t xml:space="preserve">1. Open the sort dropdown.
2. Select "Name (Z to A)".</t>
  </si>
  <si>
    <t xml:space="preserve">Sort: Name (Z to A)</t>
  </si>
  <si>
    <t xml:space="preserve">Exact reverse of A to Z: Test.allTheThings() T-Shirt (Red) first, Sauce Labs Backpack last.</t>
  </si>
  <si>
    <t xml:space="preserve">TC-020</t>
  </si>
  <si>
    <t xml:space="preserve">Sort Price Low-High</t>
  </si>
  <si>
    <t xml:space="preserve">1. Open the sort dropdown.
2. Select "Price (low to high)".</t>
  </si>
  <si>
    <t xml:space="preserve">Sort: Price (low to high)</t>
  </si>
  <si>
    <t xml:space="preserve">Prices ascend: $7.99, $9.99, $15.99, $15.99, $29.99, $49.99 (Onesie, Bike Light, the two $15.99 T-shirts, Backpack, Fleece Jacket). Index lists BUG-10 against this case; confirm the reference on execution (BUG-10 otherwise relates to error_user checkout).</t>
  </si>
  <si>
    <t xml:space="preserve">BUG-10</t>
  </si>
  <si>
    <t xml:space="preserve">TC-021</t>
  </si>
  <si>
    <t xml:space="preserve">Sort Price High-Low</t>
  </si>
  <si>
    <t xml:space="preserve">1. Open the sort dropdown.
2. Select "Price (high to low)".</t>
  </si>
  <si>
    <t xml:space="preserve">Sort: Price (high to low)</t>
  </si>
  <si>
    <t xml:space="preserve">Prices descend: $49.99, $29.99, $15.99, $15.99, $9.99, $7.99.</t>
  </si>
  <si>
    <t xml:space="preserve">TC-022</t>
  </si>
  <si>
    <t xml:space="preserve">Open product from name</t>
  </si>
  <si>
    <t xml:space="preserve">1. Click the product name "Sauce Labs Backpack".</t>
  </si>
  <si>
    <t xml:space="preserve">Product detail page opens (/inventory-item.html?id=4) showing the Backpack.</t>
  </si>
  <si>
    <t xml:space="preserve">TC-023</t>
  </si>
  <si>
    <t xml:space="preserve">Open product from image</t>
  </si>
  <si>
    <t xml:space="preserve">1. Click the product image of "Sauce Labs Backpack".</t>
  </si>
  <si>
    <t xml:space="preserve">Same product detail page as TC-022 opens, for the Backpack.</t>
  </si>
  <si>
    <t xml:space="preserve">TC-024</t>
  </si>
  <si>
    <t xml:space="preserve">Reset App State</t>
  </si>
  <si>
    <t xml:space="preserve">Logged in as standard_user; two products added to cart (badge = 2)</t>
  </si>
  <si>
    <t xml:space="preserve">1. Click the menu (burger) button.
2. Click "Reset App State".
3. Close the menu.</t>
  </si>
  <si>
    <t xml:space="preserve">Cart is emptied and the badge disappears. Product buttons show "Add to cart" (note whether a page refresh is needed for button states to reset).</t>
  </si>
  <si>
    <t xml:space="preserve">TC-025</t>
  </si>
  <si>
    <t xml:space="preserve">Product Detail</t>
  </si>
  <si>
    <t xml:space="preserve">Correct product detail data</t>
  </si>
  <si>
    <t xml:space="preserve">1. Open each product from the list.
2. Compare name, description, price and image with the Products page.</t>
  </si>
  <si>
    <t xml:space="preserve">All six products</t>
  </si>
  <si>
    <t xml:space="preserve">Each detail page shows the same name, description, price and image as the product card that was clicked.</t>
  </si>
  <si>
    <t xml:space="preserve">TC-026</t>
  </si>
  <si>
    <t xml:space="preserve">Back to Products</t>
  </si>
  <si>
    <t xml:space="preserve">Logged in as standard_user; a product detail page is open</t>
  </si>
  <si>
    <t xml:space="preserve">1. Click "Back to products".</t>
  </si>
  <si>
    <t xml:space="preserve">User returns to the Products page (/inventory.html).</t>
  </si>
  <si>
    <t xml:space="preserve">TC-027</t>
  </si>
  <si>
    <t xml:space="preserve">Add to cart from detail</t>
  </si>
  <si>
    <t xml:space="preserve">Logged in as standard_user; Backpack detail page open; cart empty</t>
  </si>
  <si>
    <t xml:space="preserve">1. Click "Add to cart".</t>
  </si>
  <si>
    <t xml:space="preserve">TC-028</t>
  </si>
  <si>
    <t xml:space="preserve">Remove from cart from detail</t>
  </si>
  <si>
    <t xml:space="preserve">Logged in as standard_user; Backpack detail page open; Backpack in cart</t>
  </si>
  <si>
    <t xml:space="preserve">1. Click "Remove".</t>
  </si>
  <si>
    <t xml:space="preserve">TC-029</t>
  </si>
  <si>
    <t xml:space="preserve">Problem user wrong detail mapping</t>
  </si>
  <si>
    <t xml:space="preserve">Logged in as problem_user; Products page displayed; cart empty</t>
  </si>
  <si>
    <t xml:space="preserve">1. Click a product name, e.g. "Sauce Labs Backpack".
2. Compare the detail page with the product that was clicked.
3. Repeat for the other products.</t>
  </si>
  <si>
    <t xml:space="preserve">Account: problem_user / secret_sauce</t>
  </si>
  <si>
    <t xml:space="preserve">The detail page shows the product that was clicked (same name, price, description and image).</t>
  </si>
  <si>
    <t xml:space="preserve">BUG-06</t>
  </si>
  <si>
    <t xml:space="preserve">TC-030</t>
  </si>
  <si>
    <t xml:space="preserve">Problem user detail Add to Cart</t>
  </si>
  <si>
    <t xml:space="preserve">Logged in as problem_user; Products page displayed; cart empty; a product detail page is open</t>
  </si>
  <si>
    <t xml:space="preserve">1. Click "Add to cart" on the detail page.
2. Check the button and the cart badge.</t>
  </si>
  <si>
    <t xml:space="preserve">Button changes to "Remove" and the badge increases by 1 for that product.</t>
  </si>
  <si>
    <t xml:space="preserve">BUG-05</t>
  </si>
  <si>
    <t xml:space="preserve">TC-031</t>
  </si>
  <si>
    <t xml:space="preserve">Error user description visibility</t>
  </si>
  <si>
    <t xml:space="preserve">Logged in as error_user; Products page displayed; cart empty</t>
  </si>
  <si>
    <t xml:space="preserve">1. Open a product detail page.
2. Compare the description with the one on the Products page.</t>
  </si>
  <si>
    <t xml:space="preserve">Account: error_user / secret_sauce</t>
  </si>
  <si>
    <t xml:space="preserve">The product description is visible and matches the Products page.</t>
  </si>
  <si>
    <t xml:space="preserve">BUG-08</t>
  </si>
  <si>
    <t xml:space="preserve">TC-032</t>
  </si>
  <si>
    <t xml:space="preserve">Cart</t>
  </si>
  <si>
    <t xml:space="preserve">Open cart</t>
  </si>
  <si>
    <t xml:space="preserve">1. Click the cart icon.</t>
  </si>
  <si>
    <t xml:space="preserve">Cart page opens (/cart.html) with title "Your Cart", QTY and Description headers, Continue Shopping and Checkout buttons.</t>
  </si>
  <si>
    <t xml:space="preserve">TC-033</t>
  </si>
  <si>
    <t xml:space="preserve">Added item appears</t>
  </si>
  <si>
    <t xml:space="preserve">Logged in as standard_user; Backpack added to cart</t>
  </si>
  <si>
    <t xml:space="preserve">1. Click the cart icon.
2. Check the listed item.</t>
  </si>
  <si>
    <t xml:space="preserve">Backpack is listed with QTY 1, its description and price $29.99.</t>
  </si>
  <si>
    <t xml:space="preserve">TC-034</t>
  </si>
  <si>
    <t xml:space="preserve">Remove item</t>
  </si>
  <si>
    <t xml:space="preserve">Logged in as standard_user; Sauce Labs Backpack added to cart; Your Cart page open</t>
  </si>
  <si>
    <t xml:space="preserve">1. Click Remove next to the Backpack.</t>
  </si>
  <si>
    <t xml:space="preserve">Item disappears from the cart. Cart badge disappears.</t>
  </si>
  <si>
    <t xml:space="preserve">TC-035</t>
  </si>
  <si>
    <t xml:space="preserve">Continue shopping</t>
  </si>
  <si>
    <t xml:space="preserve">1. Click "Continue Shopping".</t>
  </si>
  <si>
    <t xml:space="preserve">User returns to the Products page; the Backpack still shows "Remove" and the badge still shows 1.</t>
  </si>
  <si>
    <t xml:space="preserve">TC-036</t>
  </si>
  <si>
    <t xml:space="preserve">Checkout from cart</t>
  </si>
  <si>
    <t xml:space="preserve">1. Click "Checkout".</t>
  </si>
  <si>
    <t xml:space="preserve">Checkout: Your Information page opens (/checkout-step-one.html).</t>
  </si>
  <si>
    <t xml:space="preserve">TC-037</t>
  </si>
  <si>
    <t xml:space="preserve">Empty cart display</t>
  </si>
  <si>
    <t xml:space="preserve">1. Click the cart icon with nothing added.
2. Observe the page.</t>
  </si>
  <si>
    <t xml:space="preserve">Cart page shows no items and no badge. Continue Shopping and Checkout buttons are visible. Also record whether Checkout can be clicked with an empty cart and what happens.</t>
  </si>
  <si>
    <t xml:space="preserve">TC-038</t>
  </si>
  <si>
    <t xml:space="preserve">Problem user remove item</t>
  </si>
  <si>
    <t xml:space="preserve">1. Add a product to the cart.
2. Open the cart.
3. Click Remove on the item.</t>
  </si>
  <si>
    <t xml:space="preserve">Item is removed from the cart and the badge disappears.</t>
  </si>
  <si>
    <t xml:space="preserve">TC-039</t>
  </si>
  <si>
    <t xml:space="preserve">Error user add/remove affected item</t>
  </si>
  <si>
    <t xml:space="preserve">1. Click Add to cart on each of the six products, one by one, checking the badge.
2. Click Remove on each, checking the badge.</t>
  </si>
  <si>
    <t xml:space="preserve">Every product can be added and removed; the badge and button state update correctly each time.</t>
  </si>
  <si>
    <t xml:space="preserve">BUG-09</t>
  </si>
  <si>
    <t xml:space="preserve">TC-040</t>
  </si>
  <si>
    <t xml:space="preserve">Checkout</t>
  </si>
  <si>
    <t xml:space="preserve">Checkout information loads</t>
  </si>
  <si>
    <t xml:space="preserve">1. Click Checkout.</t>
  </si>
  <si>
    <t xml:space="preserve">Page title "Checkout: Your Information". First Name, Last Name and Zip/Postal Code fields plus Cancel and Continue buttons are displayed.</t>
  </si>
  <si>
    <t xml:space="preserve">TC-041</t>
  </si>
  <si>
    <t xml:space="preserve">All required fields empty</t>
  </si>
  <si>
    <t xml:space="preserve">Logged in as standard_user; Sauce Labs Backpack in cart; Checkout: Your Information page open</t>
  </si>
  <si>
    <t xml:space="preserve">1. Enter First Name.
2. Enter Last Name.
3. Enter Zip/Postal Code.
4. Click Continue.</t>
  </si>
  <si>
    <t xml:space="preserve">First: (empty) / Last: (empty) / Zip: (empty)</t>
  </si>
  <si>
    <t xml:space="preserve">Error banner: "Error: First Name is required". User stays on the page.</t>
  </si>
  <si>
    <t xml:space="preserve">TC-042</t>
  </si>
  <si>
    <t xml:space="preserve">First name empty</t>
  </si>
  <si>
    <t xml:space="preserve">First: (empty) / Last: Doe / Zip: 94016</t>
  </si>
  <si>
    <t xml:space="preserve">Error banner: "Error: First Name is required".</t>
  </si>
  <si>
    <t xml:space="preserve">TC-043</t>
  </si>
  <si>
    <t xml:space="preserve">Last name empty</t>
  </si>
  <si>
    <t xml:space="preserve">First: Jane / Last: (empty) / Zip: 94016</t>
  </si>
  <si>
    <t xml:space="preserve">Error banner: "Error: Last Name is required".</t>
  </si>
  <si>
    <t xml:space="preserve">TC-044</t>
  </si>
  <si>
    <t xml:space="preserve">Postal code empty</t>
  </si>
  <si>
    <t xml:space="preserve">First: Jane / Last: Doe / Zip: (empty)</t>
  </si>
  <si>
    <t xml:space="preserve">Error banner: "Error: Postal Code is required".</t>
  </si>
  <si>
    <t xml:space="preserve">TC-045</t>
  </si>
  <si>
    <t xml:space="preserve">Single-character names</t>
  </si>
  <si>
    <t xml:space="preserve">First: A / Last: B / Zip: 94016</t>
  </si>
  <si>
    <t xml:space="preserve">Application accepts single-character names and opens Checkout: Overview.</t>
  </si>
  <si>
    <t xml:space="preserve">TC-046</t>
  </si>
  <si>
    <t xml:space="preserve">Postal code minimum length</t>
  </si>
  <si>
    <t xml:space="preserve">First: Jane / Last: Doe / Zip: 1</t>
  </si>
  <si>
    <t xml:space="preserve">A one-character postal code is handled consistently: either Overview opens, or a clear validation message is shown. Record which.</t>
  </si>
  <si>
    <t xml:space="preserve">TC-047</t>
  </si>
  <si>
    <t xml:space="preserve">Alphabetic postal code</t>
  </si>
  <si>
    <t xml:space="preserve">First: Jane / Last: Doe / Zip: ABCDE</t>
  </si>
  <si>
    <t xml:space="preserve">No written postal-code rule exists. Reasonable expectation: a non-numeric code is rejected or flagged. If accepted, record it as an observation and decide whether to raise a defect.</t>
  </si>
  <si>
    <t xml:space="preserve">TC-048</t>
  </si>
  <si>
    <t xml:space="preserve">Special characters in names</t>
  </si>
  <si>
    <t xml:space="preserve">First: &lt;b&gt;Jane&lt;/b&gt; / Last: O'Neil-!@#$ / Zip: 94016</t>
  </si>
  <si>
    <t xml:space="preserve">Special characters are handled safely: no script runs, no broken layout. Either Overview opens with the text shown literally, or a clear validation message appears.</t>
  </si>
  <si>
    <t xml:space="preserve">TC-049</t>
  </si>
  <si>
    <t xml:space="preserve">Problem user last name field</t>
  </si>
  <si>
    <t xml:space="preserve">Critical</t>
  </si>
  <si>
    <t xml:space="preserve">Logged in as problem_user; Backpack in cart; Checkout: Your Information page open</t>
  </si>
  <si>
    <t xml:space="preserve">Account: problem_user / secret_sauce; First: Jane / Last: Doe / Zip: 94016</t>
  </si>
  <si>
    <t xml:space="preserve">Each field keeps the value typed into it, including Last Name = "Doe". Continue opens Checkout: Overview.</t>
  </si>
  <si>
    <t xml:space="preserve">BUG-07</t>
  </si>
  <si>
    <t xml:space="preserve">TC-050</t>
  </si>
  <si>
    <t xml:space="preserve">Error user last name + finish</t>
  </si>
  <si>
    <t xml:space="preserve">Logged in as error_user; Backpack in cart; Checkout: Your Information page open</t>
  </si>
  <si>
    <t xml:space="preserve">1. Enter First Name, Last Name and Zip/Postal Code.
2. Click Continue.
3. On the overview page click Finish.</t>
  </si>
  <si>
    <t xml:space="preserve">Account: error_user / secret_sauce; First: Jane / Last: Doe / Zip: 94016</t>
  </si>
  <si>
    <t xml:space="preserve">Information is accepted, Overview opens, and Finish completes the order ("Thank you for your order!").</t>
  </si>
  <si>
    <t xml:space="preserve">TC-051</t>
  </si>
  <si>
    <t xml:space="preserve">Order Overview</t>
  </si>
  <si>
    <t xml:space="preserve">Order lines accurate</t>
  </si>
  <si>
    <t xml:space="preserve">Logged in as standard_user; Backpack and Bike Light in cart; Checkout: Overview page open (valid details entered)</t>
  </si>
  <si>
    <t xml:space="preserve">1. Compare the listed lines with what was added to the cart.</t>
  </si>
  <si>
    <t xml:space="preserve">Products: Sauce Labs Backpack ($29.99), Sauce Labs Bike Light ($9.99)</t>
  </si>
  <si>
    <t xml:space="preserve">Exactly the two selected items are listed, each with QTY 1, correct name, description and price.</t>
  </si>
  <si>
    <t xml:space="preserve">TC-052</t>
  </si>
  <si>
    <t xml:space="preserve">Tax and total calculation</t>
  </si>
  <si>
    <t xml:space="preserve">1. Read Item total, Tax and Total.
2. Check the arithmetic.</t>
  </si>
  <si>
    <t xml:space="preserve">Products: Backpack $29.99 + Bike Light $9.99</t>
  </si>
  <si>
    <t xml:space="preserve">Item total $39.98; Tax (8%) $3.20; Total $43.18. Total equals item total plus tax.</t>
  </si>
  <si>
    <t xml:space="preserve">TC-053</t>
  </si>
  <si>
    <t xml:space="preserve">Cancel checkout</t>
  </si>
  <si>
    <t xml:space="preserve">1. Click Cancel.</t>
  </si>
  <si>
    <t xml:space="preserve">User returns to the Products page; the cart still contains both items (badge = 2).</t>
  </si>
  <si>
    <t xml:space="preserve">TC-054</t>
  </si>
  <si>
    <t xml:space="preserve">Finish purchase</t>
  </si>
  <si>
    <t xml:space="preserve">1. Click Finish.
2. Read the confirmation.
3. Click Back Home.</t>
  </si>
  <si>
    <t xml:space="preserve">Confirmation page (/checkout-complete.html) shows "Thank you for your order!" and the dispatch message. After Back Home the Products page opens with an empty cart.</t>
  </si>
  <si>
    <t xml:space="preserve">TC-055</t>
  </si>
  <si>
    <t xml:space="preserve">Error user Finish action</t>
  </si>
  <si>
    <t xml:space="preserve">Logged in as error_user; item in cart; Checkout: Overview page open</t>
  </si>
  <si>
    <t xml:space="preserve">1. Click Finish.
2. Observe the result.</t>
  </si>
  <si>
    <t xml:space="preserve">Order completes: confirmation page shows "Thank you for your order!".</t>
  </si>
  <si>
    <t xml:space="preserve">SauceDemo manual test execution summary</t>
  </si>
  <si>
    <t xml:space="preserve">Counts are formulas over the Test Cases sheet. Update the Status column there; this sheet recalculates.</t>
  </si>
  <si>
    <t xml:space="preserve">Cases</t>
  </si>
  <si>
    <t xml:space="preserve">Pass</t>
  </si>
  <si>
    <t xml:space="preserve">Fail</t>
  </si>
  <si>
    <t xml:space="preserve">Blocked</t>
  </si>
  <si>
    <t xml:space="preserve">Skipped</t>
  </si>
  <si>
    <t xml:space="preserve">Total</t>
  </si>
  <si>
    <t xml:space="preserve">Check (statuses sum to total)</t>
  </si>
  <si>
    <t xml:space="preserve">Low</t>
  </si>
  <si>
    <t xml:space="preserve">Demo user</t>
  </si>
  <si>
    <t xml:space="preserve">Password</t>
  </si>
  <si>
    <t xml:space="preserve">Behaviour</t>
  </si>
  <si>
    <t xml:space="preserve">standard_user</t>
  </si>
  <si>
    <t xml:space="preserve">secret_sauce</t>
  </si>
  <si>
    <t xml:space="preserve">Baseline account; expected to behave correctly.</t>
  </si>
  <si>
    <t xml:space="preserve">locked_out_user</t>
  </si>
  <si>
    <t xml:space="preserve">Login is blocked with a locked-out message.</t>
  </si>
  <si>
    <t xml:space="preserve">problem_user</t>
  </si>
  <si>
    <t xml:space="preserve">Account used to look for UI and flow problems (TC-029, 030, 038, 049).</t>
  </si>
  <si>
    <t xml:space="preserve">performance_glitch_user</t>
  </si>
  <si>
    <t xml:space="preserve">Slower responses; allow extra time when logging in.</t>
  </si>
  <si>
    <t xml:space="preserve">error_user</t>
  </si>
  <si>
    <t xml:space="preserve">Account used to look for action errors (TC-031, 039, 050, 055).</t>
  </si>
  <si>
    <t xml:space="preserve">visual_user</t>
  </si>
  <si>
    <t xml:space="preserve">Account used to look for visual differences.</t>
  </si>
  <si>
    <t xml:space="preserve">Product</t>
  </si>
  <si>
    <t xml:space="preserve">Price</t>
  </si>
  <si>
    <t xml:space="preserve">Notes</t>
  </si>
  <si>
    <t xml:space="preserve">Sauce Labs Backpack</t>
  </si>
  <si>
    <t xml:space="preserve">Product id 4</t>
  </si>
  <si>
    <t xml:space="preserve">Sauce Labs Bike Light</t>
  </si>
  <si>
    <t xml:space="preserve">Sauce Labs Bolt T-Shirt</t>
  </si>
  <si>
    <t xml:space="preserve">Sauce Labs Fleece Jacket</t>
  </si>
  <si>
    <t xml:space="preserve">Sauce Labs Onesie</t>
  </si>
  <si>
    <t xml:space="preserve">Test.allTheThings() T-Shirt (Red)</t>
  </si>
  <si>
    <t xml:space="preserve">Message</t>
  </si>
  <si>
    <t xml:space="preserve">Exact text</t>
  </si>
  <si>
    <t xml:space="preserve">Wrong credentials</t>
  </si>
  <si>
    <t xml:space="preserve">Epic sadface: Username and password do not match any user in this service</t>
  </si>
  <si>
    <t xml:space="preserve">Username missing</t>
  </si>
  <si>
    <t xml:space="preserve">Epic sadface: Username is required</t>
  </si>
  <si>
    <t xml:space="preserve">Password missing</t>
  </si>
  <si>
    <t xml:space="preserve">Epic sadface: Password is required</t>
  </si>
  <si>
    <t xml:space="preserve">Locked out</t>
  </si>
  <si>
    <t xml:space="preserve">Epic sadface: Sorry, this user has been locked out.</t>
  </si>
  <si>
    <t xml:space="preserve">First name missing</t>
  </si>
  <si>
    <t xml:space="preserve">Error: First Name is required</t>
  </si>
  <si>
    <t xml:space="preserve">Last name missing</t>
  </si>
  <si>
    <t xml:space="preserve">Error: Last Name is required</t>
  </si>
  <si>
    <t xml:space="preserve">Postal code missing</t>
  </si>
  <si>
    <t xml:space="preserve">Error: Postal Code is required</t>
  </si>
  <si>
    <t xml:space="preserve">Order complete</t>
  </si>
  <si>
    <t xml:space="preserve">Thank you for your order!</t>
  </si>
  <si>
    <t xml:space="preserve">Tax rate</t>
  </si>
  <si>
    <t xml:space="preserve">Expected 8% sales tax on the item total; confirm on execution (TC-052).</t>
  </si>
  <si>
    <t xml:space="preserve">Source</t>
  </si>
  <si>
    <t xml:space="preserve">Public demo credentials and product catalogue published on the SauceDemo login page.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</si>
</sst>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6" min="6" style="0" width="38"/>
    <col collapsed="false" customWidth="true" hidden="false" outlineLevel="0" max="7" min="7" style="0" width="48"/>
    <col collapsed="false" customWidth="true" hidden="false" outlineLevel="0" max="8" min="8" style="0" width="38"/>
    <col collapsed="false" customWidth="true" hidden="false" outlineLevel="0" max="9" min="9" style="0" width="52"/>
    <col collapsed="false" customWidth="true" hidden="false" outlineLevel="0" max="10" min="10" style="0" width="11"/>
    <col collapsed="false" customWidth="true" hidden="false" outlineLevel="0" max="11" min="11" style="0" width="36"/>
    <col collapsed="false" customWidth="true" hidden="false" outlineLevel="0" max="12" min="12" style="0" width="10"/>
    <col collapsed="false" customWidth="true" hidden="false" outlineLevel="0" max="13" min="13" style="0" width="13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35.0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 t="s">
        <v>22</v>
      </c>
      <c r="K2" s="3"/>
      <c r="L2" s="3"/>
      <c r="M2" s="3"/>
    </row>
    <row r="3" customFormat="false" ht="35.05" hidden="false" customHeight="false" outlineLevel="0" collapsed="false">
      <c r="A3" s="2" t="s">
        <v>23</v>
      </c>
      <c r="B3" s="2" t="s">
        <v>14</v>
      </c>
      <c r="C3" s="2" t="s">
        <v>24</v>
      </c>
      <c r="D3" s="2" t="s">
        <v>25</v>
      </c>
      <c r="E3" s="2" t="s">
        <v>17</v>
      </c>
      <c r="F3" s="2" t="s">
        <v>18</v>
      </c>
      <c r="G3" s="2" t="s">
        <v>19</v>
      </c>
      <c r="H3" s="2" t="s">
        <v>26</v>
      </c>
      <c r="I3" s="2" t="s">
        <v>27</v>
      </c>
      <c r="J3" s="3" t="s">
        <v>22</v>
      </c>
      <c r="K3" s="3"/>
      <c r="L3" s="3"/>
      <c r="M3" s="3"/>
    </row>
    <row r="4" customFormat="false" ht="35.05" hidden="false" customHeight="false" outlineLevel="0" collapsed="false">
      <c r="A4" s="2" t="s">
        <v>28</v>
      </c>
      <c r="B4" s="2" t="s">
        <v>14</v>
      </c>
      <c r="C4" s="2" t="s">
        <v>24</v>
      </c>
      <c r="D4" s="2" t="s">
        <v>29</v>
      </c>
      <c r="E4" s="2" t="s">
        <v>17</v>
      </c>
      <c r="F4" s="2" t="s">
        <v>18</v>
      </c>
      <c r="G4" s="2" t="s">
        <v>19</v>
      </c>
      <c r="H4" s="2" t="s">
        <v>30</v>
      </c>
      <c r="I4" s="2" t="s">
        <v>27</v>
      </c>
      <c r="J4" s="3" t="s">
        <v>22</v>
      </c>
      <c r="K4" s="3"/>
      <c r="L4" s="3"/>
      <c r="M4" s="3"/>
    </row>
    <row r="5" customFormat="false" ht="35.05" hidden="false" customHeight="false" outlineLevel="0" collapsed="false">
      <c r="A5" s="2" t="s">
        <v>31</v>
      </c>
      <c r="B5" s="2" t="s">
        <v>14</v>
      </c>
      <c r="C5" s="2" t="s">
        <v>24</v>
      </c>
      <c r="D5" s="2" t="s">
        <v>32</v>
      </c>
      <c r="E5" s="2" t="s">
        <v>17</v>
      </c>
      <c r="F5" s="2" t="s">
        <v>18</v>
      </c>
      <c r="G5" s="2" t="s">
        <v>33</v>
      </c>
      <c r="H5" s="2" t="s">
        <v>34</v>
      </c>
      <c r="I5" s="2" t="s">
        <v>35</v>
      </c>
      <c r="J5" s="3" t="s">
        <v>22</v>
      </c>
      <c r="K5" s="3"/>
      <c r="L5" s="3"/>
      <c r="M5" s="3"/>
    </row>
    <row r="6" customFormat="false" ht="35.05" hidden="false" customHeight="false" outlineLevel="0" collapsed="false">
      <c r="A6" s="2" t="s">
        <v>36</v>
      </c>
      <c r="B6" s="2" t="s">
        <v>14</v>
      </c>
      <c r="C6" s="2" t="s">
        <v>24</v>
      </c>
      <c r="D6" s="2" t="s">
        <v>37</v>
      </c>
      <c r="E6" s="2" t="s">
        <v>17</v>
      </c>
      <c r="F6" s="2" t="s">
        <v>18</v>
      </c>
      <c r="G6" s="2" t="s">
        <v>38</v>
      </c>
      <c r="H6" s="2" t="s">
        <v>39</v>
      </c>
      <c r="I6" s="2" t="s">
        <v>40</v>
      </c>
      <c r="J6" s="3" t="s">
        <v>22</v>
      </c>
      <c r="K6" s="3"/>
      <c r="L6" s="3"/>
      <c r="M6" s="3"/>
    </row>
    <row r="7" customFormat="false" ht="35.05" hidden="false" customHeight="false" outlineLevel="0" collapsed="false">
      <c r="A7" s="2" t="s">
        <v>41</v>
      </c>
      <c r="B7" s="2" t="s">
        <v>14</v>
      </c>
      <c r="C7" s="2" t="s">
        <v>24</v>
      </c>
      <c r="D7" s="2" t="s">
        <v>42</v>
      </c>
      <c r="E7" s="2" t="s">
        <v>17</v>
      </c>
      <c r="F7" s="2" t="s">
        <v>18</v>
      </c>
      <c r="G7" s="2" t="s">
        <v>43</v>
      </c>
      <c r="H7" s="2" t="s">
        <v>44</v>
      </c>
      <c r="I7" s="2" t="s">
        <v>45</v>
      </c>
      <c r="J7" s="3" t="s">
        <v>22</v>
      </c>
      <c r="K7" s="3"/>
      <c r="L7" s="3"/>
      <c r="M7" s="3"/>
    </row>
    <row r="8" customFormat="false" ht="35.05" hidden="false" customHeight="false" outlineLevel="0" collapsed="false">
      <c r="A8" s="2" t="s">
        <v>46</v>
      </c>
      <c r="B8" s="2" t="s">
        <v>14</v>
      </c>
      <c r="C8" s="2" t="s">
        <v>47</v>
      </c>
      <c r="D8" s="2" t="s">
        <v>48</v>
      </c>
      <c r="E8" s="2" t="s">
        <v>49</v>
      </c>
      <c r="F8" s="2" t="s">
        <v>18</v>
      </c>
      <c r="G8" s="2" t="s">
        <v>19</v>
      </c>
      <c r="H8" s="2" t="s">
        <v>50</v>
      </c>
      <c r="I8" s="2" t="s">
        <v>51</v>
      </c>
      <c r="J8" s="3" t="s">
        <v>22</v>
      </c>
      <c r="K8" s="3"/>
      <c r="L8" s="3"/>
      <c r="M8" s="3"/>
    </row>
    <row r="9" customFormat="false" ht="35.05" hidden="false" customHeight="false" outlineLevel="0" collapsed="false">
      <c r="A9" s="2" t="s">
        <v>52</v>
      </c>
      <c r="B9" s="2" t="s">
        <v>14</v>
      </c>
      <c r="C9" s="2" t="s">
        <v>47</v>
      </c>
      <c r="D9" s="2" t="s">
        <v>53</v>
      </c>
      <c r="E9" s="2" t="s">
        <v>49</v>
      </c>
      <c r="F9" s="2" t="s">
        <v>18</v>
      </c>
      <c r="G9" s="2" t="s">
        <v>19</v>
      </c>
      <c r="H9" s="2" t="s">
        <v>54</v>
      </c>
      <c r="I9" s="2" t="s">
        <v>51</v>
      </c>
      <c r="J9" s="3" t="s">
        <v>22</v>
      </c>
      <c r="K9" s="3"/>
      <c r="L9" s="3"/>
      <c r="M9" s="3"/>
    </row>
    <row r="10" customFormat="false" ht="46.25" hidden="false" customHeight="false" outlineLevel="0" collapsed="false">
      <c r="A10" s="2" t="s">
        <v>55</v>
      </c>
      <c r="B10" s="2" t="s">
        <v>14</v>
      </c>
      <c r="C10" s="2" t="s">
        <v>24</v>
      </c>
      <c r="D10" s="2" t="s">
        <v>56</v>
      </c>
      <c r="E10" s="2" t="s">
        <v>49</v>
      </c>
      <c r="F10" s="2" t="s">
        <v>18</v>
      </c>
      <c r="G10" s="2" t="s">
        <v>19</v>
      </c>
      <c r="H10" s="2" t="s">
        <v>57</v>
      </c>
      <c r="I10" s="2" t="s">
        <v>58</v>
      </c>
      <c r="J10" s="3" t="s">
        <v>22</v>
      </c>
      <c r="K10" s="3"/>
      <c r="L10" s="3" t="s">
        <v>59</v>
      </c>
      <c r="M10" s="3"/>
    </row>
    <row r="11" customFormat="false" ht="35.05" hidden="false" customHeight="false" outlineLevel="0" collapsed="false">
      <c r="A11" s="2" t="s">
        <v>60</v>
      </c>
      <c r="B11" s="2" t="s">
        <v>14</v>
      </c>
      <c r="C11" s="2" t="s">
        <v>15</v>
      </c>
      <c r="D11" s="2" t="s">
        <v>61</v>
      </c>
      <c r="E11" s="2" t="s">
        <v>49</v>
      </c>
      <c r="F11" s="2" t="s">
        <v>18</v>
      </c>
      <c r="G11" s="2" t="s">
        <v>62</v>
      </c>
      <c r="H11" s="2" t="s">
        <v>63</v>
      </c>
      <c r="I11" s="2" t="s">
        <v>64</v>
      </c>
      <c r="J11" s="3" t="s">
        <v>22</v>
      </c>
      <c r="K11" s="3"/>
      <c r="L11" s="3"/>
      <c r="M11" s="3"/>
    </row>
    <row r="12" customFormat="false" ht="35.05" hidden="false" customHeight="false" outlineLevel="0" collapsed="false">
      <c r="A12" s="2" t="s">
        <v>65</v>
      </c>
      <c r="B12" s="2" t="s">
        <v>14</v>
      </c>
      <c r="C12" s="2" t="s">
        <v>24</v>
      </c>
      <c r="D12" s="2" t="s">
        <v>66</v>
      </c>
      <c r="E12" s="2" t="s">
        <v>17</v>
      </c>
      <c r="F12" s="2" t="s">
        <v>18</v>
      </c>
      <c r="G12" s="2" t="s">
        <v>19</v>
      </c>
      <c r="H12" s="2" t="s">
        <v>67</v>
      </c>
      <c r="I12" s="2" t="s">
        <v>68</v>
      </c>
      <c r="J12" s="3" t="s">
        <v>22</v>
      </c>
      <c r="K12" s="3"/>
      <c r="L12" s="3"/>
      <c r="M12" s="3"/>
    </row>
    <row r="13" customFormat="false" ht="35.05" hidden="false" customHeight="false" outlineLevel="0" collapsed="false">
      <c r="A13" s="2" t="s">
        <v>69</v>
      </c>
      <c r="B13" s="2" t="s">
        <v>14</v>
      </c>
      <c r="C13" s="2" t="s">
        <v>24</v>
      </c>
      <c r="D13" s="2" t="s">
        <v>70</v>
      </c>
      <c r="E13" s="2" t="s">
        <v>49</v>
      </c>
      <c r="F13" s="2" t="s">
        <v>18</v>
      </c>
      <c r="G13" s="2" t="s">
        <v>19</v>
      </c>
      <c r="H13" s="2" t="s">
        <v>71</v>
      </c>
      <c r="I13" s="2" t="s">
        <v>27</v>
      </c>
      <c r="J13" s="3" t="s">
        <v>22</v>
      </c>
      <c r="K13" s="3"/>
      <c r="L13" s="3"/>
      <c r="M13" s="3"/>
    </row>
    <row r="14" customFormat="false" ht="35.05" hidden="false" customHeight="false" outlineLevel="0" collapsed="false">
      <c r="A14" s="2" t="s">
        <v>72</v>
      </c>
      <c r="B14" s="2" t="s">
        <v>73</v>
      </c>
      <c r="C14" s="2" t="s">
        <v>15</v>
      </c>
      <c r="D14" s="2" t="s">
        <v>74</v>
      </c>
      <c r="E14" s="2" t="s">
        <v>17</v>
      </c>
      <c r="F14" s="2" t="s">
        <v>75</v>
      </c>
      <c r="G14" s="2" t="s">
        <v>76</v>
      </c>
      <c r="H14" s="2" t="s">
        <v>77</v>
      </c>
      <c r="I14" s="2" t="s">
        <v>78</v>
      </c>
      <c r="J14" s="3" t="s">
        <v>22</v>
      </c>
      <c r="K14" s="3"/>
      <c r="L14" s="3"/>
      <c r="M14" s="3"/>
    </row>
    <row r="15" customFormat="false" ht="23.85" hidden="false" customHeight="false" outlineLevel="0" collapsed="false">
      <c r="A15" s="2" t="s">
        <v>79</v>
      </c>
      <c r="B15" s="2" t="s">
        <v>73</v>
      </c>
      <c r="C15" s="2" t="s">
        <v>15</v>
      </c>
      <c r="D15" s="2" t="s">
        <v>80</v>
      </c>
      <c r="E15" s="2" t="s">
        <v>17</v>
      </c>
      <c r="F15" s="2" t="s">
        <v>75</v>
      </c>
      <c r="G15" s="2" t="s">
        <v>81</v>
      </c>
      <c r="H15" s="2" t="s">
        <v>77</v>
      </c>
      <c r="I15" s="2" t="s">
        <v>82</v>
      </c>
      <c r="J15" s="3" t="s">
        <v>22</v>
      </c>
      <c r="K15" s="3"/>
      <c r="L15" s="3"/>
      <c r="M15" s="3"/>
    </row>
    <row r="16" customFormat="false" ht="23.85" hidden="false" customHeight="false" outlineLevel="0" collapsed="false">
      <c r="A16" s="2" t="s">
        <v>83</v>
      </c>
      <c r="B16" s="2" t="s">
        <v>73</v>
      </c>
      <c r="C16" s="2" t="s">
        <v>15</v>
      </c>
      <c r="D16" s="2" t="s">
        <v>84</v>
      </c>
      <c r="E16" s="2" t="s">
        <v>17</v>
      </c>
      <c r="F16" s="2" t="s">
        <v>75</v>
      </c>
      <c r="G16" s="2" t="s">
        <v>85</v>
      </c>
      <c r="H16" s="2" t="s">
        <v>86</v>
      </c>
      <c r="I16" s="2" t="s">
        <v>87</v>
      </c>
      <c r="J16" s="3" t="s">
        <v>22</v>
      </c>
      <c r="K16" s="3"/>
      <c r="L16" s="3"/>
      <c r="M16" s="3"/>
    </row>
    <row r="17" customFormat="false" ht="35.05" hidden="false" customHeight="false" outlineLevel="0" collapsed="false">
      <c r="A17" s="2" t="s">
        <v>88</v>
      </c>
      <c r="B17" s="2" t="s">
        <v>73</v>
      </c>
      <c r="C17" s="2" t="s">
        <v>15</v>
      </c>
      <c r="D17" s="2" t="s">
        <v>89</v>
      </c>
      <c r="E17" s="2" t="s">
        <v>17</v>
      </c>
      <c r="F17" s="2" t="s">
        <v>90</v>
      </c>
      <c r="G17" s="2" t="s">
        <v>91</v>
      </c>
      <c r="H17" s="2" t="s">
        <v>86</v>
      </c>
      <c r="I17" s="2" t="s">
        <v>92</v>
      </c>
      <c r="J17" s="3" t="s">
        <v>22</v>
      </c>
      <c r="K17" s="3"/>
      <c r="L17" s="3"/>
      <c r="M17" s="3"/>
    </row>
    <row r="18" customFormat="false" ht="35.05" hidden="false" customHeight="false" outlineLevel="0" collapsed="false">
      <c r="A18" s="2" t="s">
        <v>93</v>
      </c>
      <c r="B18" s="2" t="s">
        <v>73</v>
      </c>
      <c r="C18" s="2" t="s">
        <v>15</v>
      </c>
      <c r="D18" s="2" t="s">
        <v>94</v>
      </c>
      <c r="E18" s="2" t="s">
        <v>17</v>
      </c>
      <c r="F18" s="2" t="s">
        <v>75</v>
      </c>
      <c r="G18" s="2" t="s">
        <v>95</v>
      </c>
      <c r="H18" s="2" t="s">
        <v>96</v>
      </c>
      <c r="I18" s="2" t="s">
        <v>97</v>
      </c>
      <c r="J18" s="3" t="s">
        <v>22</v>
      </c>
      <c r="K18" s="3"/>
      <c r="L18" s="3"/>
      <c r="M18" s="3"/>
    </row>
    <row r="19" customFormat="false" ht="35.05" hidden="false" customHeight="false" outlineLevel="0" collapsed="false">
      <c r="A19" s="2" t="s">
        <v>98</v>
      </c>
      <c r="B19" s="2" t="s">
        <v>73</v>
      </c>
      <c r="C19" s="2" t="s">
        <v>15</v>
      </c>
      <c r="D19" s="2" t="s">
        <v>99</v>
      </c>
      <c r="E19" s="2" t="s">
        <v>49</v>
      </c>
      <c r="F19" s="2" t="s">
        <v>75</v>
      </c>
      <c r="G19" s="2" t="s">
        <v>100</v>
      </c>
      <c r="H19" s="2" t="s">
        <v>101</v>
      </c>
      <c r="I19" s="2" t="s">
        <v>102</v>
      </c>
      <c r="J19" s="3" t="s">
        <v>22</v>
      </c>
      <c r="K19" s="3"/>
      <c r="L19" s="3"/>
      <c r="M19" s="3"/>
    </row>
    <row r="20" customFormat="false" ht="23.85" hidden="false" customHeight="false" outlineLevel="0" collapsed="false">
      <c r="A20" s="2" t="s">
        <v>103</v>
      </c>
      <c r="B20" s="2" t="s">
        <v>73</v>
      </c>
      <c r="C20" s="2" t="s">
        <v>15</v>
      </c>
      <c r="D20" s="2" t="s">
        <v>104</v>
      </c>
      <c r="E20" s="2" t="s">
        <v>49</v>
      </c>
      <c r="F20" s="2" t="s">
        <v>75</v>
      </c>
      <c r="G20" s="2" t="s">
        <v>105</v>
      </c>
      <c r="H20" s="2" t="s">
        <v>106</v>
      </c>
      <c r="I20" s="2" t="s">
        <v>107</v>
      </c>
      <c r="J20" s="3" t="s">
        <v>22</v>
      </c>
      <c r="K20" s="3"/>
      <c r="L20" s="3"/>
      <c r="M20" s="3"/>
    </row>
    <row r="21" customFormat="false" ht="57.45" hidden="false" customHeight="false" outlineLevel="0" collapsed="false">
      <c r="A21" s="2" t="s">
        <v>108</v>
      </c>
      <c r="B21" s="2" t="s">
        <v>73</v>
      </c>
      <c r="C21" s="2" t="s">
        <v>47</v>
      </c>
      <c r="D21" s="2" t="s">
        <v>109</v>
      </c>
      <c r="E21" s="2" t="s">
        <v>49</v>
      </c>
      <c r="F21" s="2" t="s">
        <v>75</v>
      </c>
      <c r="G21" s="2" t="s">
        <v>110</v>
      </c>
      <c r="H21" s="2" t="s">
        <v>111</v>
      </c>
      <c r="I21" s="2" t="s">
        <v>112</v>
      </c>
      <c r="J21" s="3" t="s">
        <v>22</v>
      </c>
      <c r="K21" s="3"/>
      <c r="L21" s="3" t="s">
        <v>113</v>
      </c>
      <c r="M21" s="3"/>
    </row>
    <row r="22" customFormat="false" ht="23.85" hidden="false" customHeight="false" outlineLevel="0" collapsed="false">
      <c r="A22" s="2" t="s">
        <v>114</v>
      </c>
      <c r="B22" s="2" t="s">
        <v>73</v>
      </c>
      <c r="C22" s="2" t="s">
        <v>47</v>
      </c>
      <c r="D22" s="2" t="s">
        <v>115</v>
      </c>
      <c r="E22" s="2" t="s">
        <v>49</v>
      </c>
      <c r="F22" s="2" t="s">
        <v>75</v>
      </c>
      <c r="G22" s="2" t="s">
        <v>116</v>
      </c>
      <c r="H22" s="2" t="s">
        <v>117</v>
      </c>
      <c r="I22" s="2" t="s">
        <v>118</v>
      </c>
      <c r="J22" s="3" t="s">
        <v>22</v>
      </c>
      <c r="K22" s="3"/>
      <c r="L22" s="3"/>
      <c r="M22" s="3"/>
    </row>
    <row r="23" customFormat="false" ht="23.85" hidden="false" customHeight="false" outlineLevel="0" collapsed="false">
      <c r="A23" s="2" t="s">
        <v>119</v>
      </c>
      <c r="B23" s="2" t="s">
        <v>73</v>
      </c>
      <c r="C23" s="2" t="s">
        <v>15</v>
      </c>
      <c r="D23" s="2" t="s">
        <v>120</v>
      </c>
      <c r="E23" s="2" t="s">
        <v>17</v>
      </c>
      <c r="F23" s="2" t="s">
        <v>75</v>
      </c>
      <c r="G23" s="2" t="s">
        <v>121</v>
      </c>
      <c r="H23" s="2" t="s">
        <v>86</v>
      </c>
      <c r="I23" s="2" t="s">
        <v>122</v>
      </c>
      <c r="J23" s="3" t="s">
        <v>22</v>
      </c>
      <c r="K23" s="3"/>
      <c r="L23" s="3"/>
      <c r="M23" s="3"/>
    </row>
    <row r="24" customFormat="false" ht="23.85" hidden="false" customHeight="false" outlineLevel="0" collapsed="false">
      <c r="A24" s="2" t="s">
        <v>123</v>
      </c>
      <c r="B24" s="2" t="s">
        <v>73</v>
      </c>
      <c r="C24" s="2" t="s">
        <v>15</v>
      </c>
      <c r="D24" s="2" t="s">
        <v>124</v>
      </c>
      <c r="E24" s="2" t="s">
        <v>17</v>
      </c>
      <c r="F24" s="2" t="s">
        <v>75</v>
      </c>
      <c r="G24" s="2" t="s">
        <v>125</v>
      </c>
      <c r="H24" s="2" t="s">
        <v>86</v>
      </c>
      <c r="I24" s="2" t="s">
        <v>126</v>
      </c>
      <c r="J24" s="3" t="s">
        <v>22</v>
      </c>
      <c r="K24" s="3"/>
      <c r="L24" s="3"/>
      <c r="M24" s="3"/>
    </row>
    <row r="25" customFormat="false" ht="35.05" hidden="false" customHeight="false" outlineLevel="0" collapsed="false">
      <c r="A25" s="2" t="s">
        <v>127</v>
      </c>
      <c r="B25" s="2" t="s">
        <v>73</v>
      </c>
      <c r="C25" s="2" t="s">
        <v>15</v>
      </c>
      <c r="D25" s="2" t="s">
        <v>128</v>
      </c>
      <c r="E25" s="2" t="s">
        <v>49</v>
      </c>
      <c r="F25" s="2" t="s">
        <v>129</v>
      </c>
      <c r="G25" s="2" t="s">
        <v>130</v>
      </c>
      <c r="H25" s="2" t="s">
        <v>77</v>
      </c>
      <c r="I25" s="2" t="s">
        <v>131</v>
      </c>
      <c r="J25" s="3" t="s">
        <v>22</v>
      </c>
      <c r="K25" s="3"/>
      <c r="L25" s="3"/>
      <c r="M25" s="3"/>
    </row>
    <row r="26" customFormat="false" ht="35.05" hidden="false" customHeight="false" outlineLevel="0" collapsed="false">
      <c r="A26" s="2" t="s">
        <v>132</v>
      </c>
      <c r="B26" s="2" t="s">
        <v>133</v>
      </c>
      <c r="C26" s="2" t="s">
        <v>15</v>
      </c>
      <c r="D26" s="2" t="s">
        <v>134</v>
      </c>
      <c r="E26" s="2" t="s">
        <v>17</v>
      </c>
      <c r="F26" s="2" t="s">
        <v>75</v>
      </c>
      <c r="G26" s="2" t="s">
        <v>135</v>
      </c>
      <c r="H26" s="2" t="s">
        <v>136</v>
      </c>
      <c r="I26" s="2" t="s">
        <v>137</v>
      </c>
      <c r="J26" s="3" t="s">
        <v>22</v>
      </c>
      <c r="K26" s="3"/>
      <c r="L26" s="3"/>
      <c r="M26" s="3"/>
    </row>
    <row r="27" customFormat="false" ht="23.85" hidden="false" customHeight="false" outlineLevel="0" collapsed="false">
      <c r="A27" s="2" t="s">
        <v>138</v>
      </c>
      <c r="B27" s="2" t="s">
        <v>133</v>
      </c>
      <c r="C27" s="2" t="s">
        <v>15</v>
      </c>
      <c r="D27" s="2" t="s">
        <v>139</v>
      </c>
      <c r="E27" s="2" t="s">
        <v>49</v>
      </c>
      <c r="F27" s="2" t="s">
        <v>140</v>
      </c>
      <c r="G27" s="2" t="s">
        <v>141</v>
      </c>
      <c r="H27" s="2" t="s">
        <v>77</v>
      </c>
      <c r="I27" s="2" t="s">
        <v>142</v>
      </c>
      <c r="J27" s="3" t="s">
        <v>22</v>
      </c>
      <c r="K27" s="3"/>
      <c r="L27" s="3"/>
      <c r="M27" s="3"/>
    </row>
    <row r="28" customFormat="false" ht="23.85" hidden="false" customHeight="false" outlineLevel="0" collapsed="false">
      <c r="A28" s="2" t="s">
        <v>143</v>
      </c>
      <c r="B28" s="2" t="s">
        <v>133</v>
      </c>
      <c r="C28" s="2" t="s">
        <v>15</v>
      </c>
      <c r="D28" s="2" t="s">
        <v>144</v>
      </c>
      <c r="E28" s="2" t="s">
        <v>17</v>
      </c>
      <c r="F28" s="2" t="s">
        <v>145</v>
      </c>
      <c r="G28" s="2" t="s">
        <v>146</v>
      </c>
      <c r="H28" s="2" t="s">
        <v>86</v>
      </c>
      <c r="I28" s="2" t="s">
        <v>87</v>
      </c>
      <c r="J28" s="3" t="s">
        <v>22</v>
      </c>
      <c r="K28" s="3"/>
      <c r="L28" s="3"/>
      <c r="M28" s="3"/>
    </row>
    <row r="29" customFormat="false" ht="23.85" hidden="false" customHeight="false" outlineLevel="0" collapsed="false">
      <c r="A29" s="2" t="s">
        <v>147</v>
      </c>
      <c r="B29" s="2" t="s">
        <v>133</v>
      </c>
      <c r="C29" s="2" t="s">
        <v>15</v>
      </c>
      <c r="D29" s="2" t="s">
        <v>148</v>
      </c>
      <c r="E29" s="2" t="s">
        <v>17</v>
      </c>
      <c r="F29" s="2" t="s">
        <v>149</v>
      </c>
      <c r="G29" s="2" t="s">
        <v>150</v>
      </c>
      <c r="H29" s="2" t="s">
        <v>86</v>
      </c>
      <c r="I29" s="2" t="s">
        <v>92</v>
      </c>
      <c r="J29" s="3" t="s">
        <v>22</v>
      </c>
      <c r="K29" s="3"/>
      <c r="L29" s="3"/>
      <c r="M29" s="3"/>
    </row>
    <row r="30" customFormat="false" ht="46.25" hidden="false" customHeight="false" outlineLevel="0" collapsed="false">
      <c r="A30" s="2" t="s">
        <v>151</v>
      </c>
      <c r="B30" s="2" t="s">
        <v>133</v>
      </c>
      <c r="C30" s="2" t="s">
        <v>24</v>
      </c>
      <c r="D30" s="2" t="s">
        <v>152</v>
      </c>
      <c r="E30" s="2" t="s">
        <v>17</v>
      </c>
      <c r="F30" s="2" t="s">
        <v>153</v>
      </c>
      <c r="G30" s="2" t="s">
        <v>154</v>
      </c>
      <c r="H30" s="2" t="s">
        <v>155</v>
      </c>
      <c r="I30" s="2" t="s">
        <v>156</v>
      </c>
      <c r="J30" s="3" t="s">
        <v>22</v>
      </c>
      <c r="K30" s="3"/>
      <c r="L30" s="3" t="s">
        <v>157</v>
      </c>
      <c r="M30" s="3"/>
    </row>
    <row r="31" customFormat="false" ht="35.05" hidden="false" customHeight="false" outlineLevel="0" collapsed="false">
      <c r="A31" s="2" t="s">
        <v>158</v>
      </c>
      <c r="B31" s="2" t="s">
        <v>133</v>
      </c>
      <c r="C31" s="2" t="s">
        <v>24</v>
      </c>
      <c r="D31" s="2" t="s">
        <v>159</v>
      </c>
      <c r="E31" s="2" t="s">
        <v>17</v>
      </c>
      <c r="F31" s="2" t="s">
        <v>160</v>
      </c>
      <c r="G31" s="2" t="s">
        <v>161</v>
      </c>
      <c r="H31" s="2" t="s">
        <v>155</v>
      </c>
      <c r="I31" s="2" t="s">
        <v>162</v>
      </c>
      <c r="J31" s="3" t="s">
        <v>22</v>
      </c>
      <c r="K31" s="3"/>
      <c r="L31" s="3" t="s">
        <v>163</v>
      </c>
      <c r="M31" s="3"/>
    </row>
    <row r="32" customFormat="false" ht="35.05" hidden="false" customHeight="false" outlineLevel="0" collapsed="false">
      <c r="A32" s="2" t="s">
        <v>164</v>
      </c>
      <c r="B32" s="2" t="s">
        <v>133</v>
      </c>
      <c r="C32" s="2" t="s">
        <v>24</v>
      </c>
      <c r="D32" s="2" t="s">
        <v>165</v>
      </c>
      <c r="E32" s="2" t="s">
        <v>49</v>
      </c>
      <c r="F32" s="2" t="s">
        <v>166</v>
      </c>
      <c r="G32" s="2" t="s">
        <v>167</v>
      </c>
      <c r="H32" s="2" t="s">
        <v>168</v>
      </c>
      <c r="I32" s="2" t="s">
        <v>169</v>
      </c>
      <c r="J32" s="3" t="s">
        <v>22</v>
      </c>
      <c r="K32" s="3"/>
      <c r="L32" s="3" t="s">
        <v>170</v>
      </c>
      <c r="M32" s="3"/>
    </row>
    <row r="33" customFormat="false" ht="23.85" hidden="false" customHeight="false" outlineLevel="0" collapsed="false">
      <c r="A33" s="2" t="s">
        <v>171</v>
      </c>
      <c r="B33" s="2" t="s">
        <v>172</v>
      </c>
      <c r="C33" s="2" t="s">
        <v>15</v>
      </c>
      <c r="D33" s="2" t="s">
        <v>173</v>
      </c>
      <c r="E33" s="2" t="s">
        <v>17</v>
      </c>
      <c r="F33" s="2" t="s">
        <v>75</v>
      </c>
      <c r="G33" s="2" t="s">
        <v>174</v>
      </c>
      <c r="H33" s="2" t="s">
        <v>77</v>
      </c>
      <c r="I33" s="2" t="s">
        <v>175</v>
      </c>
      <c r="J33" s="3" t="s">
        <v>22</v>
      </c>
      <c r="K33" s="3"/>
      <c r="L33" s="3"/>
      <c r="M33" s="3"/>
    </row>
    <row r="34" customFormat="false" ht="23.85" hidden="false" customHeight="false" outlineLevel="0" collapsed="false">
      <c r="A34" s="2" t="s">
        <v>176</v>
      </c>
      <c r="B34" s="2" t="s">
        <v>172</v>
      </c>
      <c r="C34" s="2" t="s">
        <v>15</v>
      </c>
      <c r="D34" s="2" t="s">
        <v>177</v>
      </c>
      <c r="E34" s="2" t="s">
        <v>17</v>
      </c>
      <c r="F34" s="2" t="s">
        <v>178</v>
      </c>
      <c r="G34" s="2" t="s">
        <v>179</v>
      </c>
      <c r="H34" s="2" t="s">
        <v>86</v>
      </c>
      <c r="I34" s="2" t="s">
        <v>180</v>
      </c>
      <c r="J34" s="3" t="s">
        <v>22</v>
      </c>
      <c r="K34" s="3"/>
      <c r="L34" s="3"/>
      <c r="M34" s="3"/>
    </row>
    <row r="35" customFormat="false" ht="23.85" hidden="false" customHeight="false" outlineLevel="0" collapsed="false">
      <c r="A35" s="2" t="s">
        <v>181</v>
      </c>
      <c r="B35" s="2" t="s">
        <v>172</v>
      </c>
      <c r="C35" s="2" t="s">
        <v>15</v>
      </c>
      <c r="D35" s="2" t="s">
        <v>182</v>
      </c>
      <c r="E35" s="2" t="s">
        <v>17</v>
      </c>
      <c r="F35" s="2" t="s">
        <v>183</v>
      </c>
      <c r="G35" s="2" t="s">
        <v>184</v>
      </c>
      <c r="H35" s="2" t="s">
        <v>86</v>
      </c>
      <c r="I35" s="2" t="s">
        <v>185</v>
      </c>
      <c r="J35" s="3" t="s">
        <v>22</v>
      </c>
      <c r="K35" s="3"/>
      <c r="L35" s="3"/>
      <c r="M35" s="3"/>
    </row>
    <row r="36" customFormat="false" ht="23.85" hidden="false" customHeight="false" outlineLevel="0" collapsed="false">
      <c r="A36" s="2" t="s">
        <v>186</v>
      </c>
      <c r="B36" s="2" t="s">
        <v>172</v>
      </c>
      <c r="C36" s="2" t="s">
        <v>15</v>
      </c>
      <c r="D36" s="2" t="s">
        <v>187</v>
      </c>
      <c r="E36" s="2" t="s">
        <v>49</v>
      </c>
      <c r="F36" s="2" t="s">
        <v>183</v>
      </c>
      <c r="G36" s="2" t="s">
        <v>188</v>
      </c>
      <c r="H36" s="2" t="s">
        <v>77</v>
      </c>
      <c r="I36" s="2" t="s">
        <v>189</v>
      </c>
      <c r="J36" s="3" t="s">
        <v>22</v>
      </c>
      <c r="K36" s="3"/>
      <c r="L36" s="3"/>
      <c r="M36" s="3"/>
    </row>
    <row r="37" customFormat="false" ht="23.85" hidden="false" customHeight="false" outlineLevel="0" collapsed="false">
      <c r="A37" s="2" t="s">
        <v>190</v>
      </c>
      <c r="B37" s="2" t="s">
        <v>172</v>
      </c>
      <c r="C37" s="2" t="s">
        <v>15</v>
      </c>
      <c r="D37" s="2" t="s">
        <v>191</v>
      </c>
      <c r="E37" s="2" t="s">
        <v>17</v>
      </c>
      <c r="F37" s="2" t="s">
        <v>183</v>
      </c>
      <c r="G37" s="2" t="s">
        <v>192</v>
      </c>
      <c r="H37" s="2" t="s">
        <v>77</v>
      </c>
      <c r="I37" s="2" t="s">
        <v>193</v>
      </c>
      <c r="J37" s="3" t="s">
        <v>22</v>
      </c>
      <c r="K37" s="3"/>
      <c r="L37" s="3"/>
      <c r="M37" s="3"/>
    </row>
    <row r="38" customFormat="false" ht="35.05" hidden="false" customHeight="false" outlineLevel="0" collapsed="false">
      <c r="A38" s="2" t="s">
        <v>194</v>
      </c>
      <c r="B38" s="2" t="s">
        <v>172</v>
      </c>
      <c r="C38" s="2" t="s">
        <v>47</v>
      </c>
      <c r="D38" s="2" t="s">
        <v>195</v>
      </c>
      <c r="E38" s="2" t="s">
        <v>49</v>
      </c>
      <c r="F38" s="2" t="s">
        <v>75</v>
      </c>
      <c r="G38" s="2" t="s">
        <v>196</v>
      </c>
      <c r="H38" s="2" t="s">
        <v>77</v>
      </c>
      <c r="I38" s="2" t="s">
        <v>197</v>
      </c>
      <c r="J38" s="3" t="s">
        <v>22</v>
      </c>
      <c r="K38" s="3"/>
      <c r="L38" s="3"/>
      <c r="M38" s="3"/>
    </row>
    <row r="39" customFormat="false" ht="35.05" hidden="false" customHeight="false" outlineLevel="0" collapsed="false">
      <c r="A39" s="2" t="s">
        <v>198</v>
      </c>
      <c r="B39" s="2" t="s">
        <v>172</v>
      </c>
      <c r="C39" s="2" t="s">
        <v>24</v>
      </c>
      <c r="D39" s="2" t="s">
        <v>199</v>
      </c>
      <c r="E39" s="2" t="s">
        <v>17</v>
      </c>
      <c r="F39" s="2" t="s">
        <v>153</v>
      </c>
      <c r="G39" s="2" t="s">
        <v>200</v>
      </c>
      <c r="H39" s="2" t="s">
        <v>155</v>
      </c>
      <c r="I39" s="2" t="s">
        <v>201</v>
      </c>
      <c r="J39" s="3" t="s">
        <v>22</v>
      </c>
      <c r="K39" s="3"/>
      <c r="L39" s="3"/>
      <c r="M39" s="3"/>
    </row>
    <row r="40" customFormat="false" ht="35.05" hidden="false" customHeight="false" outlineLevel="0" collapsed="false">
      <c r="A40" s="2" t="s">
        <v>202</v>
      </c>
      <c r="B40" s="2" t="s">
        <v>172</v>
      </c>
      <c r="C40" s="2" t="s">
        <v>24</v>
      </c>
      <c r="D40" s="2" t="s">
        <v>203</v>
      </c>
      <c r="E40" s="2" t="s">
        <v>17</v>
      </c>
      <c r="F40" s="2" t="s">
        <v>166</v>
      </c>
      <c r="G40" s="2" t="s">
        <v>204</v>
      </c>
      <c r="H40" s="2" t="s">
        <v>168</v>
      </c>
      <c r="I40" s="2" t="s">
        <v>205</v>
      </c>
      <c r="J40" s="3" t="s">
        <v>22</v>
      </c>
      <c r="K40" s="3"/>
      <c r="L40" s="3" t="s">
        <v>206</v>
      </c>
      <c r="M40" s="3"/>
    </row>
    <row r="41" customFormat="false" ht="35.05" hidden="false" customHeight="false" outlineLevel="0" collapsed="false">
      <c r="A41" s="2" t="s">
        <v>207</v>
      </c>
      <c r="B41" s="2" t="s">
        <v>208</v>
      </c>
      <c r="C41" s="2" t="s">
        <v>15</v>
      </c>
      <c r="D41" s="2" t="s">
        <v>209</v>
      </c>
      <c r="E41" s="2" t="s">
        <v>17</v>
      </c>
      <c r="F41" s="2" t="s">
        <v>183</v>
      </c>
      <c r="G41" s="2" t="s">
        <v>210</v>
      </c>
      <c r="H41" s="2" t="s">
        <v>77</v>
      </c>
      <c r="I41" s="2" t="s">
        <v>211</v>
      </c>
      <c r="J41" s="3" t="s">
        <v>22</v>
      </c>
      <c r="K41" s="3"/>
      <c r="L41" s="3"/>
      <c r="M41" s="3"/>
    </row>
    <row r="42" customFormat="false" ht="46.25" hidden="false" customHeight="false" outlineLevel="0" collapsed="false">
      <c r="A42" s="2" t="s">
        <v>212</v>
      </c>
      <c r="B42" s="2" t="s">
        <v>208</v>
      </c>
      <c r="C42" s="2" t="s">
        <v>24</v>
      </c>
      <c r="D42" s="2" t="s">
        <v>213</v>
      </c>
      <c r="E42" s="2" t="s">
        <v>17</v>
      </c>
      <c r="F42" s="2" t="s">
        <v>214</v>
      </c>
      <c r="G42" s="2" t="s">
        <v>215</v>
      </c>
      <c r="H42" s="2" t="s">
        <v>216</v>
      </c>
      <c r="I42" s="2" t="s">
        <v>217</v>
      </c>
      <c r="J42" s="3" t="s">
        <v>22</v>
      </c>
      <c r="K42" s="3"/>
      <c r="L42" s="3"/>
      <c r="M42" s="3"/>
    </row>
    <row r="43" customFormat="false" ht="46.25" hidden="false" customHeight="false" outlineLevel="0" collapsed="false">
      <c r="A43" s="2" t="s">
        <v>218</v>
      </c>
      <c r="B43" s="2" t="s">
        <v>208</v>
      </c>
      <c r="C43" s="2" t="s">
        <v>24</v>
      </c>
      <c r="D43" s="2" t="s">
        <v>219</v>
      </c>
      <c r="E43" s="2" t="s">
        <v>17</v>
      </c>
      <c r="F43" s="2" t="s">
        <v>214</v>
      </c>
      <c r="G43" s="2" t="s">
        <v>215</v>
      </c>
      <c r="H43" s="2" t="s">
        <v>220</v>
      </c>
      <c r="I43" s="2" t="s">
        <v>221</v>
      </c>
      <c r="J43" s="3" t="s">
        <v>22</v>
      </c>
      <c r="K43" s="3"/>
      <c r="L43" s="3"/>
      <c r="M43" s="3"/>
    </row>
    <row r="44" customFormat="false" ht="46.25" hidden="false" customHeight="false" outlineLevel="0" collapsed="false">
      <c r="A44" s="2" t="s">
        <v>222</v>
      </c>
      <c r="B44" s="2" t="s">
        <v>208</v>
      </c>
      <c r="C44" s="2" t="s">
        <v>24</v>
      </c>
      <c r="D44" s="2" t="s">
        <v>223</v>
      </c>
      <c r="E44" s="2" t="s">
        <v>17</v>
      </c>
      <c r="F44" s="2" t="s">
        <v>214</v>
      </c>
      <c r="G44" s="2" t="s">
        <v>215</v>
      </c>
      <c r="H44" s="2" t="s">
        <v>224</v>
      </c>
      <c r="I44" s="2" t="s">
        <v>225</v>
      </c>
      <c r="J44" s="3" t="s">
        <v>22</v>
      </c>
      <c r="K44" s="3"/>
      <c r="L44" s="3"/>
      <c r="M44" s="3"/>
    </row>
    <row r="45" customFormat="false" ht="46.25" hidden="false" customHeight="false" outlineLevel="0" collapsed="false">
      <c r="A45" s="2" t="s">
        <v>226</v>
      </c>
      <c r="B45" s="2" t="s">
        <v>208</v>
      </c>
      <c r="C45" s="2" t="s">
        <v>24</v>
      </c>
      <c r="D45" s="2" t="s">
        <v>227</v>
      </c>
      <c r="E45" s="2" t="s">
        <v>17</v>
      </c>
      <c r="F45" s="2" t="s">
        <v>214</v>
      </c>
      <c r="G45" s="2" t="s">
        <v>215</v>
      </c>
      <c r="H45" s="2" t="s">
        <v>228</v>
      </c>
      <c r="I45" s="2" t="s">
        <v>229</v>
      </c>
      <c r="J45" s="3" t="s">
        <v>22</v>
      </c>
      <c r="K45" s="3"/>
      <c r="L45" s="3"/>
      <c r="M45" s="3"/>
    </row>
    <row r="46" customFormat="false" ht="46.25" hidden="false" customHeight="false" outlineLevel="0" collapsed="false">
      <c r="A46" s="2" t="s">
        <v>230</v>
      </c>
      <c r="B46" s="2" t="s">
        <v>208</v>
      </c>
      <c r="C46" s="2" t="s">
        <v>47</v>
      </c>
      <c r="D46" s="2" t="s">
        <v>231</v>
      </c>
      <c r="E46" s="2" t="s">
        <v>49</v>
      </c>
      <c r="F46" s="2" t="s">
        <v>214</v>
      </c>
      <c r="G46" s="2" t="s">
        <v>215</v>
      </c>
      <c r="H46" s="2" t="s">
        <v>232</v>
      </c>
      <c r="I46" s="2" t="s">
        <v>233</v>
      </c>
      <c r="J46" s="3" t="s">
        <v>22</v>
      </c>
      <c r="K46" s="3"/>
      <c r="L46" s="3"/>
      <c r="M46" s="3"/>
    </row>
    <row r="47" customFormat="false" ht="46.25" hidden="false" customHeight="false" outlineLevel="0" collapsed="false">
      <c r="A47" s="2" t="s">
        <v>234</v>
      </c>
      <c r="B47" s="2" t="s">
        <v>208</v>
      </c>
      <c r="C47" s="2" t="s">
        <v>47</v>
      </c>
      <c r="D47" s="2" t="s">
        <v>235</v>
      </c>
      <c r="E47" s="2" t="s">
        <v>49</v>
      </c>
      <c r="F47" s="2" t="s">
        <v>214</v>
      </c>
      <c r="G47" s="2" t="s">
        <v>215</v>
      </c>
      <c r="H47" s="2" t="s">
        <v>236</v>
      </c>
      <c r="I47" s="2" t="s">
        <v>237</v>
      </c>
      <c r="J47" s="3" t="s">
        <v>22</v>
      </c>
      <c r="K47" s="3"/>
      <c r="L47" s="3"/>
      <c r="M47" s="3"/>
    </row>
    <row r="48" customFormat="false" ht="46.25" hidden="false" customHeight="false" outlineLevel="0" collapsed="false">
      <c r="A48" s="2" t="s">
        <v>238</v>
      </c>
      <c r="B48" s="2" t="s">
        <v>208</v>
      </c>
      <c r="C48" s="2" t="s">
        <v>24</v>
      </c>
      <c r="D48" s="2" t="s">
        <v>239</v>
      </c>
      <c r="E48" s="2" t="s">
        <v>17</v>
      </c>
      <c r="F48" s="2" t="s">
        <v>214</v>
      </c>
      <c r="G48" s="2" t="s">
        <v>215</v>
      </c>
      <c r="H48" s="2" t="s">
        <v>240</v>
      </c>
      <c r="I48" s="2" t="s">
        <v>241</v>
      </c>
      <c r="J48" s="3" t="s">
        <v>22</v>
      </c>
      <c r="K48" s="3"/>
      <c r="L48" s="3"/>
      <c r="M48" s="3"/>
    </row>
    <row r="49" customFormat="false" ht="46.25" hidden="false" customHeight="false" outlineLevel="0" collapsed="false">
      <c r="A49" s="2" t="s">
        <v>242</v>
      </c>
      <c r="B49" s="2" t="s">
        <v>208</v>
      </c>
      <c r="C49" s="2" t="s">
        <v>24</v>
      </c>
      <c r="D49" s="2" t="s">
        <v>243</v>
      </c>
      <c r="E49" s="2" t="s">
        <v>49</v>
      </c>
      <c r="F49" s="2" t="s">
        <v>214</v>
      </c>
      <c r="G49" s="2" t="s">
        <v>215</v>
      </c>
      <c r="H49" s="2" t="s">
        <v>244</v>
      </c>
      <c r="I49" s="2" t="s">
        <v>245</v>
      </c>
      <c r="J49" s="3" t="s">
        <v>22</v>
      </c>
      <c r="K49" s="3"/>
      <c r="L49" s="3"/>
      <c r="M49" s="3"/>
    </row>
    <row r="50" customFormat="false" ht="46.25" hidden="false" customHeight="false" outlineLevel="0" collapsed="false">
      <c r="A50" s="2" t="s">
        <v>246</v>
      </c>
      <c r="B50" s="2" t="s">
        <v>208</v>
      </c>
      <c r="C50" s="2" t="s">
        <v>24</v>
      </c>
      <c r="D50" s="2" t="s">
        <v>247</v>
      </c>
      <c r="E50" s="2" t="s">
        <v>248</v>
      </c>
      <c r="F50" s="2" t="s">
        <v>249</v>
      </c>
      <c r="G50" s="2" t="s">
        <v>215</v>
      </c>
      <c r="H50" s="2" t="s">
        <v>250</v>
      </c>
      <c r="I50" s="2" t="s">
        <v>251</v>
      </c>
      <c r="J50" s="3" t="s">
        <v>22</v>
      </c>
      <c r="K50" s="3"/>
      <c r="L50" s="3" t="s">
        <v>252</v>
      </c>
      <c r="M50" s="3"/>
    </row>
    <row r="51" customFormat="false" ht="35.05" hidden="false" customHeight="false" outlineLevel="0" collapsed="false">
      <c r="A51" s="2" t="s">
        <v>253</v>
      </c>
      <c r="B51" s="2" t="s">
        <v>208</v>
      </c>
      <c r="C51" s="2" t="s">
        <v>24</v>
      </c>
      <c r="D51" s="2" t="s">
        <v>254</v>
      </c>
      <c r="E51" s="2" t="s">
        <v>248</v>
      </c>
      <c r="F51" s="2" t="s">
        <v>255</v>
      </c>
      <c r="G51" s="2" t="s">
        <v>256</v>
      </c>
      <c r="H51" s="2" t="s">
        <v>257</v>
      </c>
      <c r="I51" s="2" t="s">
        <v>258</v>
      </c>
      <c r="J51" s="3" t="s">
        <v>22</v>
      </c>
      <c r="K51" s="3"/>
      <c r="L51" s="3" t="s">
        <v>113</v>
      </c>
      <c r="M51" s="3"/>
    </row>
    <row r="52" customFormat="false" ht="35.05" hidden="false" customHeight="false" outlineLevel="0" collapsed="false">
      <c r="A52" s="2" t="s">
        <v>259</v>
      </c>
      <c r="B52" s="2" t="s">
        <v>260</v>
      </c>
      <c r="C52" s="2" t="s">
        <v>15</v>
      </c>
      <c r="D52" s="2" t="s">
        <v>261</v>
      </c>
      <c r="E52" s="2" t="s">
        <v>17</v>
      </c>
      <c r="F52" s="2" t="s">
        <v>262</v>
      </c>
      <c r="G52" s="2" t="s">
        <v>263</v>
      </c>
      <c r="H52" s="2" t="s">
        <v>264</v>
      </c>
      <c r="I52" s="2" t="s">
        <v>265</v>
      </c>
      <c r="J52" s="3" t="s">
        <v>22</v>
      </c>
      <c r="K52" s="3"/>
      <c r="L52" s="3"/>
      <c r="M52" s="3"/>
    </row>
    <row r="53" customFormat="false" ht="35.05" hidden="false" customHeight="false" outlineLevel="0" collapsed="false">
      <c r="A53" s="2" t="s">
        <v>266</v>
      </c>
      <c r="B53" s="2" t="s">
        <v>260</v>
      </c>
      <c r="C53" s="2" t="s">
        <v>15</v>
      </c>
      <c r="D53" s="2" t="s">
        <v>267</v>
      </c>
      <c r="E53" s="2" t="s">
        <v>17</v>
      </c>
      <c r="F53" s="2" t="s">
        <v>262</v>
      </c>
      <c r="G53" s="2" t="s">
        <v>268</v>
      </c>
      <c r="H53" s="2" t="s">
        <v>269</v>
      </c>
      <c r="I53" s="2" t="s">
        <v>270</v>
      </c>
      <c r="J53" s="3" t="s">
        <v>22</v>
      </c>
      <c r="K53" s="3"/>
      <c r="L53" s="3"/>
      <c r="M53" s="3"/>
    </row>
    <row r="54" customFormat="false" ht="35.05" hidden="false" customHeight="false" outlineLevel="0" collapsed="false">
      <c r="A54" s="2" t="s">
        <v>271</v>
      </c>
      <c r="B54" s="2" t="s">
        <v>260</v>
      </c>
      <c r="C54" s="2" t="s">
        <v>15</v>
      </c>
      <c r="D54" s="2" t="s">
        <v>272</v>
      </c>
      <c r="E54" s="2" t="s">
        <v>49</v>
      </c>
      <c r="F54" s="2" t="s">
        <v>262</v>
      </c>
      <c r="G54" s="2" t="s">
        <v>273</v>
      </c>
      <c r="H54" s="2" t="s">
        <v>77</v>
      </c>
      <c r="I54" s="2" t="s">
        <v>274</v>
      </c>
      <c r="J54" s="3" t="s">
        <v>22</v>
      </c>
      <c r="K54" s="3"/>
      <c r="L54" s="3"/>
      <c r="M54" s="3"/>
    </row>
    <row r="55" customFormat="false" ht="35.05" hidden="false" customHeight="false" outlineLevel="0" collapsed="false">
      <c r="A55" s="2" t="s">
        <v>275</v>
      </c>
      <c r="B55" s="2" t="s">
        <v>260</v>
      </c>
      <c r="C55" s="2" t="s">
        <v>15</v>
      </c>
      <c r="D55" s="2" t="s">
        <v>276</v>
      </c>
      <c r="E55" s="2" t="s">
        <v>248</v>
      </c>
      <c r="F55" s="2" t="s">
        <v>262</v>
      </c>
      <c r="G55" s="2" t="s">
        <v>277</v>
      </c>
      <c r="H55" s="2" t="s">
        <v>77</v>
      </c>
      <c r="I55" s="2" t="s">
        <v>278</v>
      </c>
      <c r="J55" s="3" t="s">
        <v>22</v>
      </c>
      <c r="K55" s="3"/>
      <c r="L55" s="3"/>
      <c r="M55" s="3"/>
    </row>
    <row r="56" customFormat="false" ht="23.85" hidden="false" customHeight="false" outlineLevel="0" collapsed="false">
      <c r="A56" s="2" t="s">
        <v>279</v>
      </c>
      <c r="B56" s="2" t="s">
        <v>260</v>
      </c>
      <c r="C56" s="2" t="s">
        <v>24</v>
      </c>
      <c r="D56" s="2" t="s">
        <v>280</v>
      </c>
      <c r="E56" s="2" t="s">
        <v>248</v>
      </c>
      <c r="F56" s="2" t="s">
        <v>281</v>
      </c>
      <c r="G56" s="2" t="s">
        <v>282</v>
      </c>
      <c r="H56" s="2" t="s">
        <v>168</v>
      </c>
      <c r="I56" s="2" t="s">
        <v>283</v>
      </c>
      <c r="J56" s="3" t="s">
        <v>22</v>
      </c>
      <c r="K56" s="3"/>
      <c r="L56" s="3" t="s">
        <v>113</v>
      </c>
      <c r="M56" s="3"/>
    </row>
  </sheetData>
  <autoFilter ref="A1:M56"/>
  <dataValidations count="1">
    <dataValidation allowBlank="false" errorStyle="stop" operator="between" showDropDown="false" showErrorMessage="false" showInputMessage="false" sqref="J2:J56" type="list">
      <formula1>"Not Run,Pass,Fail,Blocked,Skipped"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2"/>
  </cols>
  <sheetData>
    <row r="1" customFormat="false" ht="16.15" hidden="false" customHeight="false" outlineLevel="0" collapsed="false">
      <c r="A1" s="4" t="s">
        <v>284</v>
      </c>
    </row>
    <row r="2" customFormat="false" ht="15" hidden="false" customHeight="false" outlineLevel="0" collapsed="false">
      <c r="A2" s="5" t="s">
        <v>285</v>
      </c>
    </row>
    <row r="4" customFormat="false" ht="15" hidden="false" customHeight="false" outlineLevel="0" collapsed="false">
      <c r="A4" s="6" t="s">
        <v>9</v>
      </c>
      <c r="B4" s="6" t="s">
        <v>286</v>
      </c>
    </row>
    <row r="5" customFormat="false" ht="15" hidden="false" customHeight="false" outlineLevel="0" collapsed="false">
      <c r="A5" s="7" t="s">
        <v>22</v>
      </c>
      <c r="B5" s="7" t="n">
        <f aca="false">COUNTIF('Test Cases'!$J$2:$J$56,A5)</f>
        <v>55</v>
      </c>
    </row>
    <row r="6" customFormat="false" ht="15" hidden="false" customHeight="false" outlineLevel="0" collapsed="false">
      <c r="A6" s="7" t="s">
        <v>287</v>
      </c>
      <c r="B6" s="7" t="n">
        <f aca="false">COUNTIF('Test Cases'!$J$2:$J$56,A6)</f>
        <v>0</v>
      </c>
    </row>
    <row r="7" customFormat="false" ht="15" hidden="false" customHeight="false" outlineLevel="0" collapsed="false">
      <c r="A7" s="7" t="s">
        <v>288</v>
      </c>
      <c r="B7" s="7" t="n">
        <f aca="false">COUNTIF('Test Cases'!$J$2:$J$56,A7)</f>
        <v>0</v>
      </c>
    </row>
    <row r="8" customFormat="false" ht="15" hidden="false" customHeight="false" outlineLevel="0" collapsed="false">
      <c r="A8" s="7" t="s">
        <v>289</v>
      </c>
      <c r="B8" s="7" t="n">
        <f aca="false">COUNTIF('Test Cases'!$J$2:$J$56,A8)</f>
        <v>0</v>
      </c>
    </row>
    <row r="9" customFormat="false" ht="15" hidden="false" customHeight="false" outlineLevel="0" collapsed="false">
      <c r="A9" s="7" t="s">
        <v>290</v>
      </c>
      <c r="B9" s="7" t="n">
        <f aca="false">COUNTIF('Test Cases'!$J$2:$J$56,A9)</f>
        <v>0</v>
      </c>
    </row>
    <row r="10" customFormat="false" ht="15" hidden="false" customHeight="false" outlineLevel="0" collapsed="false">
      <c r="A10" s="8" t="s">
        <v>291</v>
      </c>
      <c r="B10" s="8" t="n">
        <f aca="false">COUNTA('Test Cases'!$A$2:$A$56)</f>
        <v>55</v>
      </c>
    </row>
    <row r="11" customFormat="false" ht="15" hidden="false" customHeight="false" outlineLevel="0" collapsed="false">
      <c r="A11" s="7" t="s">
        <v>292</v>
      </c>
      <c r="B11" s="7" t="str">
        <f aca="false">IF(SUM(B5:B9)=B10,"OK","MISMATCH")</f>
        <v>OK</v>
      </c>
    </row>
    <row r="13" customFormat="false" ht="15" hidden="false" customHeight="false" outlineLevel="0" collapsed="false">
      <c r="A13" s="6" t="s">
        <v>1</v>
      </c>
      <c r="B13" s="6" t="s">
        <v>22</v>
      </c>
      <c r="C13" s="6" t="s">
        <v>287</v>
      </c>
      <c r="D13" s="6" t="s">
        <v>288</v>
      </c>
      <c r="E13" s="6" t="s">
        <v>289</v>
      </c>
      <c r="F13" s="6" t="s">
        <v>291</v>
      </c>
    </row>
    <row r="14" customFormat="false" ht="15" hidden="false" customHeight="false" outlineLevel="0" collapsed="false">
      <c r="A14" s="7" t="s">
        <v>14</v>
      </c>
      <c r="B14" s="7" t="n">
        <f aca="false">COUNTIFS('Test Cases'!$B$2:$B$56,$A14,'Test Cases'!$J$2:$J$56,B$13)</f>
        <v>12</v>
      </c>
      <c r="C14" s="7" t="n">
        <f aca="false">COUNTIFS('Test Cases'!$B$2:$B$56,$A14,'Test Cases'!$J$2:$J$56,C$13)</f>
        <v>0</v>
      </c>
      <c r="D14" s="7" t="n">
        <f aca="false">COUNTIFS('Test Cases'!$B$2:$B$56,$A14,'Test Cases'!$J$2:$J$56,D$13)</f>
        <v>0</v>
      </c>
      <c r="E14" s="7" t="n">
        <f aca="false">COUNTIFS('Test Cases'!$B$2:$B$56,$A14,'Test Cases'!$J$2:$J$56,E$13)</f>
        <v>0</v>
      </c>
      <c r="F14" s="7" t="n">
        <f aca="false">COUNTIF('Test Cases'!$B$2:$B$56,$A14)</f>
        <v>12</v>
      </c>
    </row>
    <row r="15" customFormat="false" ht="15" hidden="false" customHeight="false" outlineLevel="0" collapsed="false">
      <c r="A15" s="7" t="s">
        <v>73</v>
      </c>
      <c r="B15" s="7" t="n">
        <f aca="false">COUNTIFS('Test Cases'!$B$2:$B$56,$A15,'Test Cases'!$J$2:$J$56,B$13)</f>
        <v>12</v>
      </c>
      <c r="C15" s="7" t="n">
        <f aca="false">COUNTIFS('Test Cases'!$B$2:$B$56,$A15,'Test Cases'!$J$2:$J$56,C$13)</f>
        <v>0</v>
      </c>
      <c r="D15" s="7" t="n">
        <f aca="false">COUNTIFS('Test Cases'!$B$2:$B$56,$A15,'Test Cases'!$J$2:$J$56,D$13)</f>
        <v>0</v>
      </c>
      <c r="E15" s="7" t="n">
        <f aca="false">COUNTIFS('Test Cases'!$B$2:$B$56,$A15,'Test Cases'!$J$2:$J$56,E$13)</f>
        <v>0</v>
      </c>
      <c r="F15" s="7" t="n">
        <f aca="false">COUNTIF('Test Cases'!$B$2:$B$56,$A15)</f>
        <v>12</v>
      </c>
    </row>
    <row r="16" customFormat="false" ht="15" hidden="false" customHeight="false" outlineLevel="0" collapsed="false">
      <c r="A16" s="7" t="s">
        <v>133</v>
      </c>
      <c r="B16" s="7" t="n">
        <f aca="false">COUNTIFS('Test Cases'!$B$2:$B$56,$A16,'Test Cases'!$J$2:$J$56,B$13)</f>
        <v>7</v>
      </c>
      <c r="C16" s="7" t="n">
        <f aca="false">COUNTIFS('Test Cases'!$B$2:$B$56,$A16,'Test Cases'!$J$2:$J$56,C$13)</f>
        <v>0</v>
      </c>
      <c r="D16" s="7" t="n">
        <f aca="false">COUNTIFS('Test Cases'!$B$2:$B$56,$A16,'Test Cases'!$J$2:$J$56,D$13)</f>
        <v>0</v>
      </c>
      <c r="E16" s="7" t="n">
        <f aca="false">COUNTIFS('Test Cases'!$B$2:$B$56,$A16,'Test Cases'!$J$2:$J$56,E$13)</f>
        <v>0</v>
      </c>
      <c r="F16" s="7" t="n">
        <f aca="false">COUNTIF('Test Cases'!$B$2:$B$56,$A16)</f>
        <v>7</v>
      </c>
    </row>
    <row r="17" customFormat="false" ht="15" hidden="false" customHeight="false" outlineLevel="0" collapsed="false">
      <c r="A17" s="7" t="s">
        <v>172</v>
      </c>
      <c r="B17" s="7" t="n">
        <f aca="false">COUNTIFS('Test Cases'!$B$2:$B$56,$A17,'Test Cases'!$J$2:$J$56,B$13)</f>
        <v>8</v>
      </c>
      <c r="C17" s="7" t="n">
        <f aca="false">COUNTIFS('Test Cases'!$B$2:$B$56,$A17,'Test Cases'!$J$2:$J$56,C$13)</f>
        <v>0</v>
      </c>
      <c r="D17" s="7" t="n">
        <f aca="false">COUNTIFS('Test Cases'!$B$2:$B$56,$A17,'Test Cases'!$J$2:$J$56,D$13)</f>
        <v>0</v>
      </c>
      <c r="E17" s="7" t="n">
        <f aca="false">COUNTIFS('Test Cases'!$B$2:$B$56,$A17,'Test Cases'!$J$2:$J$56,E$13)</f>
        <v>0</v>
      </c>
      <c r="F17" s="7" t="n">
        <f aca="false">COUNTIF('Test Cases'!$B$2:$B$56,$A17)</f>
        <v>8</v>
      </c>
    </row>
    <row r="18" customFormat="false" ht="15" hidden="false" customHeight="false" outlineLevel="0" collapsed="false">
      <c r="A18" s="7" t="s">
        <v>208</v>
      </c>
      <c r="B18" s="7" t="n">
        <f aca="false">COUNTIFS('Test Cases'!$B$2:$B$56,$A18,'Test Cases'!$J$2:$J$56,B$13)</f>
        <v>11</v>
      </c>
      <c r="C18" s="7" t="n">
        <f aca="false">COUNTIFS('Test Cases'!$B$2:$B$56,$A18,'Test Cases'!$J$2:$J$56,C$13)</f>
        <v>0</v>
      </c>
      <c r="D18" s="7" t="n">
        <f aca="false">COUNTIFS('Test Cases'!$B$2:$B$56,$A18,'Test Cases'!$J$2:$J$56,D$13)</f>
        <v>0</v>
      </c>
      <c r="E18" s="7" t="n">
        <f aca="false">COUNTIFS('Test Cases'!$B$2:$B$56,$A18,'Test Cases'!$J$2:$J$56,E$13)</f>
        <v>0</v>
      </c>
      <c r="F18" s="7" t="n">
        <f aca="false">COUNTIF('Test Cases'!$B$2:$B$56,$A18)</f>
        <v>11</v>
      </c>
    </row>
    <row r="19" customFormat="false" ht="15" hidden="false" customHeight="false" outlineLevel="0" collapsed="false">
      <c r="A19" s="7" t="s">
        <v>260</v>
      </c>
      <c r="B19" s="7" t="n">
        <f aca="false">COUNTIFS('Test Cases'!$B$2:$B$56,$A19,'Test Cases'!$J$2:$J$56,B$13)</f>
        <v>5</v>
      </c>
      <c r="C19" s="7" t="n">
        <f aca="false">COUNTIFS('Test Cases'!$B$2:$B$56,$A19,'Test Cases'!$J$2:$J$56,C$13)</f>
        <v>0</v>
      </c>
      <c r="D19" s="7" t="n">
        <f aca="false">COUNTIFS('Test Cases'!$B$2:$B$56,$A19,'Test Cases'!$J$2:$J$56,D$13)</f>
        <v>0</v>
      </c>
      <c r="E19" s="7" t="n">
        <f aca="false">COUNTIFS('Test Cases'!$B$2:$B$56,$A19,'Test Cases'!$J$2:$J$56,E$13)</f>
        <v>0</v>
      </c>
      <c r="F19" s="7" t="n">
        <f aca="false">COUNTIF('Test Cases'!$B$2:$B$56,$A19)</f>
        <v>5</v>
      </c>
    </row>
    <row r="21" customFormat="false" ht="15" hidden="false" customHeight="false" outlineLevel="0" collapsed="false">
      <c r="A21" s="6" t="s">
        <v>4</v>
      </c>
      <c r="B21" s="6" t="s">
        <v>286</v>
      </c>
      <c r="C21" s="6"/>
      <c r="D21" s="6"/>
      <c r="E21" s="6"/>
      <c r="F21" s="6"/>
    </row>
    <row r="22" customFormat="false" ht="15" hidden="false" customHeight="false" outlineLevel="0" collapsed="false">
      <c r="A22" s="7" t="s">
        <v>248</v>
      </c>
      <c r="B22" s="7" t="n">
        <f aca="false">COUNTIF('Test Cases'!$E$2:$E$56,A22)</f>
        <v>4</v>
      </c>
      <c r="C22" s="7"/>
      <c r="D22" s="7"/>
      <c r="E22" s="7"/>
      <c r="F22" s="7"/>
    </row>
    <row r="23" customFormat="false" ht="15" hidden="false" customHeight="false" outlineLevel="0" collapsed="false">
      <c r="A23" s="7" t="s">
        <v>17</v>
      </c>
      <c r="B23" s="7" t="n">
        <f aca="false">COUNTIF('Test Cases'!$E$2:$E$56,A23)</f>
        <v>33</v>
      </c>
      <c r="C23" s="7"/>
      <c r="D23" s="7"/>
      <c r="E23" s="7"/>
      <c r="F23" s="7"/>
    </row>
    <row r="24" customFormat="false" ht="15" hidden="false" customHeight="false" outlineLevel="0" collapsed="false">
      <c r="A24" s="7" t="s">
        <v>49</v>
      </c>
      <c r="B24" s="7" t="n">
        <f aca="false">COUNTIF('Test Cases'!$E$2:$E$56,A24)</f>
        <v>18</v>
      </c>
      <c r="C24" s="7"/>
      <c r="D24" s="7"/>
      <c r="E24" s="7"/>
      <c r="F24" s="7"/>
    </row>
    <row r="25" customFormat="false" ht="15" hidden="false" customHeight="false" outlineLevel="0" collapsed="false">
      <c r="A25" s="7" t="s">
        <v>293</v>
      </c>
      <c r="B25" s="7" t="n">
        <f aca="false">COUNTIF('Test Cases'!$E$2:$E$56,A25)</f>
        <v>0</v>
      </c>
      <c r="C25" s="7"/>
      <c r="D25" s="7"/>
      <c r="E25" s="7"/>
      <c r="F25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6" t="s">
        <v>294</v>
      </c>
      <c r="B1" s="6" t="s">
        <v>295</v>
      </c>
      <c r="C1" s="6" t="s">
        <v>296</v>
      </c>
    </row>
    <row r="2" customFormat="false" ht="15" hidden="false" customHeight="false" outlineLevel="0" collapsed="false">
      <c r="A2" s="9" t="s">
        <v>297</v>
      </c>
      <c r="B2" s="9" t="s">
        <v>298</v>
      </c>
      <c r="C2" s="9" t="s">
        <v>299</v>
      </c>
    </row>
    <row r="3" customFormat="false" ht="15" hidden="false" customHeight="false" outlineLevel="0" collapsed="false">
      <c r="A3" s="9" t="s">
        <v>300</v>
      </c>
      <c r="B3" s="9" t="s">
        <v>298</v>
      </c>
      <c r="C3" s="9" t="s">
        <v>301</v>
      </c>
    </row>
    <row r="4" customFormat="false" ht="15" hidden="false" customHeight="false" outlineLevel="0" collapsed="false">
      <c r="A4" s="9" t="s">
        <v>302</v>
      </c>
      <c r="B4" s="9" t="s">
        <v>298</v>
      </c>
      <c r="C4" s="9" t="s">
        <v>303</v>
      </c>
    </row>
    <row r="5" customFormat="false" ht="15" hidden="false" customHeight="false" outlineLevel="0" collapsed="false">
      <c r="A5" s="9" t="s">
        <v>304</v>
      </c>
      <c r="B5" s="9" t="s">
        <v>298</v>
      </c>
      <c r="C5" s="9" t="s">
        <v>305</v>
      </c>
    </row>
    <row r="6" customFormat="false" ht="15" hidden="false" customHeight="false" outlineLevel="0" collapsed="false">
      <c r="A6" s="9" t="s">
        <v>306</v>
      </c>
      <c r="B6" s="9" t="s">
        <v>298</v>
      </c>
      <c r="C6" s="9" t="s">
        <v>307</v>
      </c>
    </row>
    <row r="7" customFormat="false" ht="15" hidden="false" customHeight="false" outlineLevel="0" collapsed="false">
      <c r="A7" s="9" t="s">
        <v>308</v>
      </c>
      <c r="B7" s="9" t="s">
        <v>298</v>
      </c>
      <c r="C7" s="9" t="s">
        <v>309</v>
      </c>
    </row>
    <row r="8" customFormat="false" ht="15" hidden="false" customHeight="false" outlineLevel="0" collapsed="false">
      <c r="A8" s="9"/>
      <c r="B8" s="9"/>
      <c r="C8" s="9"/>
    </row>
    <row r="9" customFormat="false" ht="15" hidden="false" customHeight="false" outlineLevel="0" collapsed="false">
      <c r="A9" s="10" t="s">
        <v>310</v>
      </c>
      <c r="B9" s="10" t="s">
        <v>311</v>
      </c>
      <c r="C9" s="10" t="s">
        <v>312</v>
      </c>
    </row>
    <row r="10" customFormat="false" ht="15" hidden="false" customHeight="false" outlineLevel="0" collapsed="false">
      <c r="A10" s="9" t="s">
        <v>313</v>
      </c>
      <c r="B10" s="11" t="n">
        <v>29.99</v>
      </c>
      <c r="C10" s="9" t="s">
        <v>314</v>
      </c>
    </row>
    <row r="11" customFormat="false" ht="15" hidden="false" customHeight="false" outlineLevel="0" collapsed="false">
      <c r="A11" s="9" t="s">
        <v>315</v>
      </c>
      <c r="B11" s="11" t="n">
        <v>9.99</v>
      </c>
      <c r="C11" s="9"/>
    </row>
    <row r="12" customFormat="false" ht="15" hidden="false" customHeight="false" outlineLevel="0" collapsed="false">
      <c r="A12" s="9" t="s">
        <v>316</v>
      </c>
      <c r="B12" s="11" t="n">
        <v>15.99</v>
      </c>
      <c r="C12" s="9"/>
    </row>
    <row r="13" customFormat="false" ht="15" hidden="false" customHeight="false" outlineLevel="0" collapsed="false">
      <c r="A13" s="9" t="s">
        <v>317</v>
      </c>
      <c r="B13" s="11" t="n">
        <v>49.99</v>
      </c>
      <c r="C13" s="9"/>
    </row>
    <row r="14" customFormat="false" ht="15" hidden="false" customHeight="false" outlineLevel="0" collapsed="false">
      <c r="A14" s="9" t="s">
        <v>318</v>
      </c>
      <c r="B14" s="11" t="n">
        <v>7.99</v>
      </c>
      <c r="C14" s="9"/>
    </row>
    <row r="15" customFormat="false" ht="23.85" hidden="false" customHeight="false" outlineLevel="0" collapsed="false">
      <c r="A15" s="9" t="s">
        <v>319</v>
      </c>
      <c r="B15" s="11" t="n">
        <v>15.99</v>
      </c>
      <c r="C15" s="9"/>
    </row>
    <row r="16" customFormat="false" ht="15" hidden="false" customHeight="false" outlineLevel="0" collapsed="false">
      <c r="A16" s="9"/>
      <c r="B16" s="9"/>
      <c r="C16" s="9"/>
    </row>
    <row r="17" customFormat="false" ht="15" hidden="false" customHeight="false" outlineLevel="0" collapsed="false">
      <c r="A17" s="10" t="s">
        <v>320</v>
      </c>
      <c r="B17" s="10"/>
      <c r="C17" s="10" t="s">
        <v>321</v>
      </c>
    </row>
    <row r="18" customFormat="false" ht="15" hidden="false" customHeight="false" outlineLevel="0" collapsed="false">
      <c r="A18" s="9" t="s">
        <v>322</v>
      </c>
      <c r="B18" s="9"/>
      <c r="C18" s="9" t="s">
        <v>323</v>
      </c>
    </row>
    <row r="19" customFormat="false" ht="15" hidden="false" customHeight="false" outlineLevel="0" collapsed="false">
      <c r="A19" s="9" t="s">
        <v>324</v>
      </c>
      <c r="B19" s="9"/>
      <c r="C19" s="9" t="s">
        <v>325</v>
      </c>
    </row>
    <row r="20" customFormat="false" ht="15" hidden="false" customHeight="false" outlineLevel="0" collapsed="false">
      <c r="A20" s="9" t="s">
        <v>326</v>
      </c>
      <c r="B20" s="9"/>
      <c r="C20" s="9" t="s">
        <v>327</v>
      </c>
    </row>
    <row r="21" customFormat="false" ht="15" hidden="false" customHeight="false" outlineLevel="0" collapsed="false">
      <c r="A21" s="9" t="s">
        <v>328</v>
      </c>
      <c r="B21" s="9"/>
      <c r="C21" s="9" t="s">
        <v>329</v>
      </c>
    </row>
    <row r="22" customFormat="false" ht="15" hidden="false" customHeight="false" outlineLevel="0" collapsed="false">
      <c r="A22" s="9" t="s">
        <v>330</v>
      </c>
      <c r="B22" s="9"/>
      <c r="C22" s="9" t="s">
        <v>331</v>
      </c>
    </row>
    <row r="23" customFormat="false" ht="15" hidden="false" customHeight="false" outlineLevel="0" collapsed="false">
      <c r="A23" s="9" t="s">
        <v>332</v>
      </c>
      <c r="B23" s="9"/>
      <c r="C23" s="9" t="s">
        <v>333</v>
      </c>
    </row>
    <row r="24" customFormat="false" ht="15" hidden="false" customHeight="false" outlineLevel="0" collapsed="false">
      <c r="A24" s="9" t="s">
        <v>334</v>
      </c>
      <c r="B24" s="9"/>
      <c r="C24" s="9" t="s">
        <v>335</v>
      </c>
    </row>
    <row r="25" customFormat="false" ht="15" hidden="false" customHeight="false" outlineLevel="0" collapsed="false">
      <c r="A25" s="9" t="s">
        <v>336</v>
      </c>
      <c r="B25" s="9"/>
      <c r="C25" s="9" t="s">
        <v>337</v>
      </c>
    </row>
    <row r="26" customFormat="false" ht="15" hidden="false" customHeight="false" outlineLevel="0" collapsed="false">
      <c r="A26" s="9"/>
      <c r="B26" s="9"/>
      <c r="C26" s="9"/>
    </row>
    <row r="27" customFormat="false" ht="15" hidden="false" customHeight="false" outlineLevel="0" collapsed="false">
      <c r="A27" s="9" t="s">
        <v>338</v>
      </c>
      <c r="B27" s="12" t="n">
        <v>0.08</v>
      </c>
      <c r="C27" s="9" t="s">
        <v>339</v>
      </c>
    </row>
    <row r="28" customFormat="false" ht="23.85" hidden="false" customHeight="false" outlineLevel="0" collapsed="false">
      <c r="A28" s="9" t="s">
        <v>340</v>
      </c>
      <c r="B28" s="9"/>
      <c r="C28" s="9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2026-10-28T19:41:30Z</dcterms:created>
  <dc:creator>openpyxl</dc:creator>
  <dc:description/>
  <dc:language>en-US</dc:language>
  <cp:lastModifiedBy/>
  <dcterms:modified xsi:type="dcterms:W3CDTF">2026-10-28T19:41:30Z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